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090" windowHeight="12255" activeTab="2"/>
  </bookViews>
  <sheets>
    <sheet name="Sheet1" sheetId="1" r:id="rId1"/>
    <sheet name="Sheet5" sheetId="2" r:id="rId2"/>
    <sheet name="计算结果" sheetId="3" r:id="rId3"/>
    <sheet name="管道统计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<sst xmlns="http://schemas.openxmlformats.org/spreadsheetml/2006/main" count="494" uniqueCount="209">
  <si>
    <t>起点编号</t>
  </si>
  <si>
    <t>终点编号</t>
  </si>
  <si>
    <t>长度(m)</t>
  </si>
  <si>
    <t>起点地面标高(m)</t>
  </si>
  <si>
    <t>终点地面标高(m)</t>
  </si>
  <si>
    <t>本段汇水面积(m2)</t>
  </si>
  <si>
    <t>本段产生流量(L/s)</t>
  </si>
  <si>
    <t>污水提升埋深(m)</t>
  </si>
  <si>
    <t>本段汇水面积</t>
  </si>
  <si>
    <t>上游汇入流量(L/s)</t>
  </si>
  <si>
    <t>设计流量(L/s)</t>
  </si>
  <si>
    <t>管径(mm)</t>
  </si>
  <si>
    <t>充满度</t>
  </si>
  <si>
    <t>坡度</t>
  </si>
  <si>
    <t>流速(m/s)</t>
  </si>
  <si>
    <t>并联数</t>
  </si>
  <si>
    <t>污水泵站扬程(m)</t>
  </si>
  <si>
    <t>主动跌水(m)</t>
  </si>
  <si>
    <t>末端跌水高度(m)</t>
  </si>
  <si>
    <t>是否设置跌水井</t>
  </si>
  <si>
    <t>起点管内底(m)</t>
  </si>
  <si>
    <t>终点管内底(m)</t>
  </si>
  <si>
    <t>起点水面(m)</t>
  </si>
  <si>
    <t>终点水面(m)</t>
  </si>
  <si>
    <t>起点埋深(m)</t>
  </si>
  <si>
    <t>起点覆土深度(m)</t>
  </si>
  <si>
    <t>终点埋深(m)</t>
  </si>
  <si>
    <t>终点覆土深度(m)</t>
  </si>
  <si>
    <t>连接方式</t>
  </si>
  <si>
    <t>来源</t>
  </si>
  <si>
    <t>1</t>
  </si>
  <si>
    <t>2</t>
  </si>
  <si>
    <t/>
  </si>
  <si>
    <t>起始管道</t>
  </si>
  <si>
    <t>Sheet1_第2行</t>
  </si>
  <si>
    <t>3</t>
  </si>
  <si>
    <t>水面平接</t>
  </si>
  <si>
    <t>Sheet1_第3行</t>
  </si>
  <si>
    <t>4</t>
  </si>
  <si>
    <t>Sheet1_第4行</t>
  </si>
  <si>
    <t>5</t>
  </si>
  <si>
    <t>管顶平接</t>
  </si>
  <si>
    <t>Sheet1_第5行</t>
  </si>
  <si>
    <t>6</t>
  </si>
  <si>
    <t>Sheet1_第6行</t>
  </si>
  <si>
    <t>7</t>
  </si>
  <si>
    <t>Sheet1_第7行</t>
  </si>
  <si>
    <t>8</t>
  </si>
  <si>
    <t>Sheet1_第8行</t>
  </si>
  <si>
    <t>9</t>
  </si>
  <si>
    <t>Sheet1_第9行</t>
  </si>
  <si>
    <t>10</t>
  </si>
  <si>
    <t>Sheet1_第10行</t>
  </si>
  <si>
    <t>11</t>
  </si>
  <si>
    <t>12</t>
  </si>
  <si>
    <t>Sheet1_第11行</t>
  </si>
  <si>
    <t>13</t>
  </si>
  <si>
    <t>Sheet1_第12行</t>
  </si>
  <si>
    <t>14</t>
  </si>
  <si>
    <t>Sheet1_第13行</t>
  </si>
  <si>
    <t>15</t>
  </si>
  <si>
    <t>Sheet1_第14行</t>
  </si>
  <si>
    <t>16</t>
  </si>
  <si>
    <t>Sheet1_第15行</t>
  </si>
  <si>
    <t>17</t>
  </si>
  <si>
    <t>Sheet1_第16行</t>
  </si>
  <si>
    <t>18</t>
  </si>
  <si>
    <t>Sheet1_第17行</t>
  </si>
  <si>
    <t>19</t>
  </si>
  <si>
    <t>Sheet1_第18行</t>
  </si>
  <si>
    <t>20</t>
  </si>
  <si>
    <t>Sheet1_第19行</t>
  </si>
  <si>
    <t>Sheet1_第20行</t>
  </si>
  <si>
    <t>24</t>
  </si>
  <si>
    <t>25</t>
  </si>
  <si>
    <t>Sheet1_第21行</t>
  </si>
  <si>
    <t>26</t>
  </si>
  <si>
    <t>Sheet1_第22行</t>
  </si>
  <si>
    <t>27</t>
  </si>
  <si>
    <t>Sheet1_第23行</t>
  </si>
  <si>
    <t>28</t>
  </si>
  <si>
    <t>Sheet1_第24行</t>
  </si>
  <si>
    <t>29</t>
  </si>
  <si>
    <t>Sheet1_第25行</t>
  </si>
  <si>
    <t>30</t>
  </si>
  <si>
    <t>Sheet1_第26行</t>
  </si>
  <si>
    <t>31</t>
  </si>
  <si>
    <t>Sheet1_第27行</t>
  </si>
  <si>
    <t>32</t>
  </si>
  <si>
    <t>Sheet1_第28行</t>
  </si>
  <si>
    <t>33</t>
  </si>
  <si>
    <t>Sheet1_第29行</t>
  </si>
  <si>
    <t>23</t>
  </si>
  <si>
    <t>Sheet1_第30行</t>
  </si>
  <si>
    <t>21</t>
  </si>
  <si>
    <t>Sheet1_第31行</t>
  </si>
  <si>
    <t>22</t>
  </si>
  <si>
    <t>Sheet1_第32行</t>
  </si>
  <si>
    <t>Sheet1_第33行</t>
  </si>
  <si>
    <t>44</t>
  </si>
  <si>
    <t>Sheet1_第34行</t>
  </si>
  <si>
    <t>34</t>
  </si>
  <si>
    <t>35</t>
  </si>
  <si>
    <t>Sheet1_第35行</t>
  </si>
  <si>
    <t>36</t>
  </si>
  <si>
    <t>Sheet1_第36行</t>
  </si>
  <si>
    <t>37</t>
  </si>
  <si>
    <t>Sheet1_第37行</t>
  </si>
  <si>
    <t>38</t>
  </si>
  <si>
    <t>Sheet1_第38行</t>
  </si>
  <si>
    <t>39</t>
  </si>
  <si>
    <t>Sheet1_第39行</t>
  </si>
  <si>
    <t>40</t>
  </si>
  <si>
    <t>Sheet1_第40行</t>
  </si>
  <si>
    <t>41</t>
  </si>
  <si>
    <t>Sheet1_第41行</t>
  </si>
  <si>
    <t>42</t>
  </si>
  <si>
    <t>Sheet1_第42行</t>
  </si>
  <si>
    <t>43</t>
  </si>
  <si>
    <t>Sheet1_第43行</t>
  </si>
  <si>
    <t>Sheet1_第44行</t>
  </si>
  <si>
    <t>83</t>
  </si>
  <si>
    <t>Sheet1_第45行</t>
  </si>
  <si>
    <t>84</t>
  </si>
  <si>
    <t>Sheet1_第46行</t>
  </si>
  <si>
    <t>85</t>
  </si>
  <si>
    <t>Sheet1_第47行</t>
  </si>
  <si>
    <t>86</t>
  </si>
  <si>
    <t>Sheet1_第48行</t>
  </si>
  <si>
    <t>45</t>
  </si>
  <si>
    <t>46</t>
  </si>
  <si>
    <t>Sheet5_第2行</t>
  </si>
  <si>
    <t>47</t>
  </si>
  <si>
    <t>Sheet5_第3行</t>
  </si>
  <si>
    <t>48</t>
  </si>
  <si>
    <t>Sheet5_第4行</t>
  </si>
  <si>
    <t>49</t>
  </si>
  <si>
    <t>Sheet5_第5行</t>
  </si>
  <si>
    <t>50</t>
  </si>
  <si>
    <t>Sheet5_第6行</t>
  </si>
  <si>
    <t>51</t>
  </si>
  <si>
    <t>Sheet5_第7行</t>
  </si>
  <si>
    <t>52</t>
  </si>
  <si>
    <t>Sheet5_第8行</t>
  </si>
  <si>
    <t>53</t>
  </si>
  <si>
    <t>Sheet5_第9行</t>
  </si>
  <si>
    <t>54</t>
  </si>
  <si>
    <t>Sheet5_第10行</t>
  </si>
  <si>
    <t>55</t>
  </si>
  <si>
    <t>Sheet5_第11行</t>
  </si>
  <si>
    <t>56</t>
  </si>
  <si>
    <t>57</t>
  </si>
  <si>
    <t>Sheet5_第12行</t>
  </si>
  <si>
    <t>58</t>
  </si>
  <si>
    <t>Sheet5_第13行</t>
  </si>
  <si>
    <t>59</t>
  </si>
  <si>
    <t>Sheet5_第14行</t>
  </si>
  <si>
    <t>60</t>
  </si>
  <si>
    <t>Sheet5_第15行</t>
  </si>
  <si>
    <t>61</t>
  </si>
  <si>
    <t>Sheet5_第16行</t>
  </si>
  <si>
    <t>Sheet5_第17行</t>
  </si>
  <si>
    <t>68</t>
  </si>
  <si>
    <t>Sheet5_第18行</t>
  </si>
  <si>
    <t>62</t>
  </si>
  <si>
    <t>63</t>
  </si>
  <si>
    <t>Sheet5_第19行</t>
  </si>
  <si>
    <t>64</t>
  </si>
  <si>
    <t>Sheet5_第20行</t>
  </si>
  <si>
    <t>65</t>
  </si>
  <si>
    <t>Sheet5_第21行</t>
  </si>
  <si>
    <t>66</t>
  </si>
  <si>
    <t>Sheet5_第22行</t>
  </si>
  <si>
    <t>67</t>
  </si>
  <si>
    <t>Sheet5_第23行</t>
  </si>
  <si>
    <t>Sheet5_第24行</t>
  </si>
  <si>
    <t>69</t>
  </si>
  <si>
    <t>Sheet5_第25行</t>
  </si>
  <si>
    <t>70</t>
  </si>
  <si>
    <t>Sheet5_第26行</t>
  </si>
  <si>
    <t>71</t>
  </si>
  <si>
    <t>Sheet5_第27行</t>
  </si>
  <si>
    <t>72</t>
  </si>
  <si>
    <t>Sheet5_第28行</t>
  </si>
  <si>
    <t>Sheet5_第29行</t>
  </si>
  <si>
    <t>73</t>
  </si>
  <si>
    <t>74</t>
  </si>
  <si>
    <t>Sheet5_第30行</t>
  </si>
  <si>
    <t>75</t>
  </si>
  <si>
    <t>Sheet5_第31行</t>
  </si>
  <si>
    <t>76</t>
  </si>
  <si>
    <t>Sheet5_第32行</t>
  </si>
  <si>
    <t>77</t>
  </si>
  <si>
    <t>Sheet5_第33行</t>
  </si>
  <si>
    <t>78</t>
  </si>
  <si>
    <t>Sheet5_第34行</t>
  </si>
  <si>
    <t>79</t>
  </si>
  <si>
    <t>Sheet5_第35行</t>
  </si>
  <si>
    <t>80</t>
  </si>
  <si>
    <t>Sheet5_第36行</t>
  </si>
  <si>
    <t>81</t>
  </si>
  <si>
    <t>Sheet5_第37行</t>
  </si>
  <si>
    <t>82</t>
  </si>
  <si>
    <t>Sheet5_第38行</t>
  </si>
  <si>
    <t>Sheet5_第39行</t>
  </si>
  <si>
    <t>87</t>
  </si>
  <si>
    <t>Sheet5_第40行</t>
  </si>
  <si>
    <t>总计</t>
  </si>
  <si>
    <t>总长度(m)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</si>
</sst>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0_);[Red]\(0.000\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176" fontId="0" fillId="0" borderId="0" xfId="0" applyNumberFormat="1" applyAlignment="1">
      <alignment vertical="center"/>
    </xf>
    <xf numFmtId="177" fontId="0" fillId="0" borderId="0" xfId="0" applyNumberFormat="1" applyAlignment="1"/>
    <xf numFmtId="177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zoomScale="160" zoomScaleNormal="160" topLeftCell="A31" workbookViewId="0">
      <selection activeCell="H45" sqref="H45"/>
    </sheetView>
  </sheetViews>
  <sheetFormatPr defaultColWidth="9" defaultRowHeight="13.5" outlineLevelCol="7"/>
  <cols>
    <col min="3" max="3" width="10.625" style="1" customWidth="1"/>
    <col min="4" max="4" width="15.125" style="1" customWidth="1"/>
    <col min="5" max="5" width="14.75" style="1" customWidth="1"/>
    <col min="6" max="6" width="16.125" style="1" customWidth="1"/>
    <col min="7" max="7" width="16.25" style="1" customWidth="1"/>
    <col min="8" max="8" width="16.375" style="3" customWidth="1"/>
    <col min="11" max="11" width="12.625" style="1" customWidth="1"/>
  </cols>
  <sheetData>
    <row r="1" ht="15.75" customHeight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</row>
    <row r="2" spans="1:8">
      <c r="A2">
        <v>1</v>
      </c>
      <c r="B2">
        <v>2</v>
      </c>
      <c r="C2" s="2">
        <v>355.66</v>
      </c>
      <c r="D2" s="4">
        <v>291.022</v>
      </c>
      <c r="E2" s="4">
        <f t="shared" ref="E2:E9" si="0">D3</f>
        <v>290.75</v>
      </c>
      <c r="F2">
        <f>135776+116596+136751+107230</f>
        <v>496353</v>
      </c>
      <c r="G2" s="2">
        <f t="shared" ref="G2:G48" si="1">90*F2/10000*160/24/3600*1.4</f>
        <v>11.58157</v>
      </c>
      <c r="H2" s="3">
        <v>0</v>
      </c>
    </row>
    <row r="3" spans="1:8">
      <c r="A3">
        <v>2</v>
      </c>
      <c r="B3">
        <v>3</v>
      </c>
      <c r="C3" s="2">
        <v>505.4</v>
      </c>
      <c r="D3" s="4">
        <v>290.75</v>
      </c>
      <c r="E3" s="4">
        <f t="shared" si="0"/>
        <v>290.259</v>
      </c>
      <c r="F3">
        <f>199442+150402</f>
        <v>349844</v>
      </c>
      <c r="G3" s="2">
        <f t="shared" si="1"/>
        <v>8.16302666666667</v>
      </c>
      <c r="H3" s="3">
        <v>0</v>
      </c>
    </row>
    <row r="4" spans="1:8">
      <c r="A4">
        <v>3</v>
      </c>
      <c r="B4">
        <v>4</v>
      </c>
      <c r="C4" s="2">
        <v>249.04</v>
      </c>
      <c r="D4" s="4">
        <v>290.259</v>
      </c>
      <c r="E4" s="4">
        <f t="shared" si="0"/>
        <v>290.164</v>
      </c>
      <c r="F4">
        <v>105854</v>
      </c>
      <c r="G4" s="2">
        <f t="shared" si="1"/>
        <v>2.46992666666667</v>
      </c>
      <c r="H4" s="3">
        <v>0</v>
      </c>
    </row>
    <row r="5" spans="1:8">
      <c r="A5">
        <v>4</v>
      </c>
      <c r="B5">
        <v>5</v>
      </c>
      <c r="C5" s="2">
        <v>418.14</v>
      </c>
      <c r="D5" s="4">
        <v>290.164</v>
      </c>
      <c r="E5" s="4">
        <f t="shared" si="0"/>
        <v>289.863</v>
      </c>
      <c r="F5">
        <f>128612+159468</f>
        <v>288080</v>
      </c>
      <c r="G5" s="2">
        <f t="shared" si="1"/>
        <v>6.72186666666667</v>
      </c>
      <c r="H5" s="3">
        <v>0</v>
      </c>
    </row>
    <row r="6" spans="1:8">
      <c r="A6">
        <v>5</v>
      </c>
      <c r="B6">
        <v>6</v>
      </c>
      <c r="C6" s="2">
        <v>330.64</v>
      </c>
      <c r="D6" s="4">
        <v>289.863</v>
      </c>
      <c r="E6" s="4">
        <f t="shared" si="0"/>
        <v>289.645</v>
      </c>
      <c r="F6">
        <f>99227+90370</f>
        <v>189597</v>
      </c>
      <c r="G6" s="2">
        <f t="shared" si="1"/>
        <v>4.42393</v>
      </c>
      <c r="H6" s="3">
        <v>0</v>
      </c>
    </row>
    <row r="7" spans="1:8">
      <c r="A7">
        <v>6</v>
      </c>
      <c r="B7">
        <v>7</v>
      </c>
      <c r="C7" s="2">
        <v>380.33</v>
      </c>
      <c r="D7" s="4">
        <v>289.645</v>
      </c>
      <c r="E7" s="4">
        <f t="shared" si="0"/>
        <v>289.4</v>
      </c>
      <c r="F7">
        <f>114770+103824</f>
        <v>218594</v>
      </c>
      <c r="G7" s="2">
        <f t="shared" si="1"/>
        <v>5.10052666666667</v>
      </c>
      <c r="H7" s="3">
        <v>3.331</v>
      </c>
    </row>
    <row r="8" spans="1:8">
      <c r="A8">
        <v>7</v>
      </c>
      <c r="B8">
        <v>8</v>
      </c>
      <c r="C8" s="2">
        <v>377.88</v>
      </c>
      <c r="D8" s="4">
        <v>289.4</v>
      </c>
      <c r="E8" s="4">
        <f t="shared" si="0"/>
        <v>289.163</v>
      </c>
      <c r="F8">
        <f>102331+95634</f>
        <v>197965</v>
      </c>
      <c r="G8" s="2">
        <f t="shared" si="1"/>
        <v>4.61918333333333</v>
      </c>
      <c r="H8" s="3">
        <v>0</v>
      </c>
    </row>
    <row r="9" spans="1:8">
      <c r="A9">
        <v>8</v>
      </c>
      <c r="B9">
        <v>9</v>
      </c>
      <c r="C9" s="2">
        <v>384.69</v>
      </c>
      <c r="D9" s="4">
        <v>289.163</v>
      </c>
      <c r="E9" s="4">
        <f t="shared" si="0"/>
        <v>288.983</v>
      </c>
      <c r="F9">
        <f>130799+51698</f>
        <v>182497</v>
      </c>
      <c r="G9" s="2">
        <f t="shared" si="1"/>
        <v>4.25826333333333</v>
      </c>
      <c r="H9" s="3">
        <v>0</v>
      </c>
    </row>
    <row r="10" spans="1:8">
      <c r="A10">
        <v>9</v>
      </c>
      <c r="B10">
        <v>10</v>
      </c>
      <c r="C10" s="2">
        <v>458</v>
      </c>
      <c r="D10" s="4">
        <v>288.983</v>
      </c>
      <c r="E10" s="4">
        <v>288.768</v>
      </c>
      <c r="F10">
        <v>102460</v>
      </c>
      <c r="G10" s="2">
        <f t="shared" si="1"/>
        <v>2.39073333333333</v>
      </c>
      <c r="H10" s="3">
        <v>0</v>
      </c>
    </row>
    <row r="11" spans="1:8">
      <c r="A11">
        <v>11</v>
      </c>
      <c r="B11">
        <v>12</v>
      </c>
      <c r="C11" s="2">
        <v>248.61</v>
      </c>
      <c r="D11" s="4">
        <v>290.902</v>
      </c>
      <c r="E11" s="4">
        <f t="shared" ref="E11:E19" si="2">D12</f>
        <v>290.642</v>
      </c>
      <c r="F11">
        <f>193209+158790</f>
        <v>351999</v>
      </c>
      <c r="G11" s="2">
        <f t="shared" si="1"/>
        <v>8.21331</v>
      </c>
      <c r="H11" s="3">
        <v>0</v>
      </c>
    </row>
    <row r="12" spans="1:8">
      <c r="A12">
        <v>12</v>
      </c>
      <c r="B12">
        <v>13</v>
      </c>
      <c r="C12" s="2">
        <v>450.3</v>
      </c>
      <c r="D12" s="4">
        <v>290.642</v>
      </c>
      <c r="E12" s="4">
        <f t="shared" si="2"/>
        <v>290.304</v>
      </c>
      <c r="F12">
        <v>234526</v>
      </c>
      <c r="G12" s="2">
        <f t="shared" si="1"/>
        <v>5.47227333333333</v>
      </c>
      <c r="H12" s="3">
        <v>0</v>
      </c>
    </row>
    <row r="13" spans="1:8">
      <c r="A13">
        <v>13</v>
      </c>
      <c r="B13">
        <v>14</v>
      </c>
      <c r="C13" s="2">
        <v>338.35</v>
      </c>
      <c r="D13" s="4">
        <v>290.304</v>
      </c>
      <c r="E13" s="4">
        <f t="shared" si="2"/>
        <v>290.24</v>
      </c>
      <c r="F13">
        <v>0</v>
      </c>
      <c r="G13" s="2">
        <f t="shared" si="1"/>
        <v>0</v>
      </c>
      <c r="H13" s="3">
        <v>0</v>
      </c>
    </row>
    <row r="14" spans="1:8">
      <c r="A14">
        <v>14</v>
      </c>
      <c r="B14">
        <v>15</v>
      </c>
      <c r="C14" s="2">
        <v>261.18</v>
      </c>
      <c r="D14" s="4">
        <v>290.24</v>
      </c>
      <c r="E14" s="4">
        <f t="shared" si="2"/>
        <v>290.05</v>
      </c>
      <c r="F14">
        <f>78865+38388</f>
        <v>117253</v>
      </c>
      <c r="G14" s="2">
        <f t="shared" si="1"/>
        <v>2.73590333333333</v>
      </c>
      <c r="H14" s="3">
        <v>0</v>
      </c>
    </row>
    <row r="15" spans="1:8">
      <c r="A15">
        <v>15</v>
      </c>
      <c r="B15">
        <v>16</v>
      </c>
      <c r="C15" s="2">
        <v>318.97</v>
      </c>
      <c r="D15" s="4">
        <v>290.05</v>
      </c>
      <c r="E15" s="4">
        <f t="shared" si="2"/>
        <v>289.843</v>
      </c>
      <c r="F15">
        <f>72820+110531</f>
        <v>183351</v>
      </c>
      <c r="G15" s="2">
        <f t="shared" si="1"/>
        <v>4.27819</v>
      </c>
      <c r="H15" s="3">
        <v>1.5</v>
      </c>
    </row>
    <row r="16" spans="1:8">
      <c r="A16">
        <v>16</v>
      </c>
      <c r="B16">
        <v>17</v>
      </c>
      <c r="C16" s="2">
        <v>392.72</v>
      </c>
      <c r="D16" s="4">
        <v>289.843</v>
      </c>
      <c r="E16" s="4">
        <f t="shared" si="2"/>
        <v>289.602</v>
      </c>
      <c r="F16">
        <f>83161+129179</f>
        <v>212340</v>
      </c>
      <c r="G16" s="2">
        <f t="shared" si="1"/>
        <v>4.9546</v>
      </c>
      <c r="H16" s="3">
        <v>0</v>
      </c>
    </row>
    <row r="17" spans="1:8">
      <c r="A17">
        <v>17</v>
      </c>
      <c r="B17">
        <v>18</v>
      </c>
      <c r="C17" s="2">
        <v>402.81</v>
      </c>
      <c r="D17" s="4">
        <v>289.602</v>
      </c>
      <c r="E17" s="4">
        <f t="shared" si="2"/>
        <v>289.358</v>
      </c>
      <c r="F17">
        <f>76997+112666</f>
        <v>189663</v>
      </c>
      <c r="G17" s="2">
        <f t="shared" si="1"/>
        <v>4.42547</v>
      </c>
      <c r="H17" s="3">
        <v>0</v>
      </c>
    </row>
    <row r="18" spans="1:8">
      <c r="A18">
        <v>18</v>
      </c>
      <c r="B18">
        <v>19</v>
      </c>
      <c r="C18" s="2">
        <v>274.37</v>
      </c>
      <c r="D18" s="4">
        <v>289.358</v>
      </c>
      <c r="E18" s="4">
        <f t="shared" si="2"/>
        <v>289.264</v>
      </c>
      <c r="F18">
        <f>7768+26886+103912</f>
        <v>138566</v>
      </c>
      <c r="G18" s="2">
        <f t="shared" si="1"/>
        <v>3.23320666666667</v>
      </c>
      <c r="H18" s="3">
        <v>0</v>
      </c>
    </row>
    <row r="19" spans="1:8">
      <c r="A19">
        <v>19</v>
      </c>
      <c r="B19">
        <v>20</v>
      </c>
      <c r="C19" s="2">
        <v>314.96</v>
      </c>
      <c r="D19" s="4">
        <v>289.264</v>
      </c>
      <c r="E19" s="4">
        <f t="shared" si="2"/>
        <v>289.073</v>
      </c>
      <c r="F19">
        <f>74248+104075</f>
        <v>178323</v>
      </c>
      <c r="G19" s="2">
        <f t="shared" si="1"/>
        <v>4.16087</v>
      </c>
      <c r="H19" s="3">
        <v>0</v>
      </c>
    </row>
    <row r="20" spans="1:8">
      <c r="A20">
        <v>20</v>
      </c>
      <c r="B20">
        <v>10</v>
      </c>
      <c r="C20" s="2">
        <v>408.24</v>
      </c>
      <c r="D20" s="4">
        <v>289.073</v>
      </c>
      <c r="E20" s="4">
        <v>288.768</v>
      </c>
      <c r="F20">
        <f>106398</f>
        <v>106398</v>
      </c>
      <c r="G20" s="2">
        <f t="shared" si="1"/>
        <v>2.48262</v>
      </c>
      <c r="H20" s="3">
        <v>0</v>
      </c>
    </row>
    <row r="21" spans="1:8">
      <c r="A21">
        <v>24</v>
      </c>
      <c r="B21">
        <v>25</v>
      </c>
      <c r="C21" s="2">
        <v>385.99</v>
      </c>
      <c r="D21" s="4">
        <v>290.655</v>
      </c>
      <c r="E21" s="4">
        <f t="shared" ref="E21:E29" si="3">D22</f>
        <v>290.394</v>
      </c>
      <c r="F21">
        <f>213422+134348+123564+141163</f>
        <v>612497</v>
      </c>
      <c r="G21" s="2">
        <f t="shared" si="1"/>
        <v>14.2915966666667</v>
      </c>
      <c r="H21" s="3">
        <v>0</v>
      </c>
    </row>
    <row r="22" spans="1:8">
      <c r="A22">
        <v>25</v>
      </c>
      <c r="B22">
        <v>26</v>
      </c>
      <c r="C22" s="2">
        <v>422.52</v>
      </c>
      <c r="D22" s="4">
        <v>290.394</v>
      </c>
      <c r="E22" s="4">
        <f t="shared" si="3"/>
        <v>290.112</v>
      </c>
      <c r="F22">
        <f>120450+227672</f>
        <v>348122</v>
      </c>
      <c r="G22" s="2">
        <f t="shared" si="1"/>
        <v>8.12284666666667</v>
      </c>
      <c r="H22" s="3">
        <v>0</v>
      </c>
    </row>
    <row r="23" spans="1:8">
      <c r="A23">
        <v>26</v>
      </c>
      <c r="B23">
        <v>27</v>
      </c>
      <c r="C23" s="2">
        <v>401.52</v>
      </c>
      <c r="D23" s="4">
        <v>290.112</v>
      </c>
      <c r="E23" s="4">
        <f t="shared" si="3"/>
        <v>289.858</v>
      </c>
      <c r="F23">
        <f>67955+174092</f>
        <v>242047</v>
      </c>
      <c r="G23" s="2">
        <f t="shared" si="1"/>
        <v>5.64776333333333</v>
      </c>
      <c r="H23" s="3">
        <v>0</v>
      </c>
    </row>
    <row r="24" spans="1:8">
      <c r="A24">
        <v>27</v>
      </c>
      <c r="B24">
        <v>28</v>
      </c>
      <c r="C24" s="2">
        <v>368.86</v>
      </c>
      <c r="D24" s="4">
        <v>289.858</v>
      </c>
      <c r="E24" s="4">
        <f t="shared" si="3"/>
        <v>289.65</v>
      </c>
      <c r="F24">
        <f>154886+8176</f>
        <v>163062</v>
      </c>
      <c r="G24" s="2">
        <f t="shared" si="1"/>
        <v>3.80478</v>
      </c>
      <c r="H24" s="3">
        <v>0</v>
      </c>
    </row>
    <row r="25" spans="1:8">
      <c r="A25">
        <v>28</v>
      </c>
      <c r="B25">
        <v>29</v>
      </c>
      <c r="C25" s="2">
        <v>442.15</v>
      </c>
      <c r="D25" s="4">
        <v>289.65</v>
      </c>
      <c r="E25" s="4">
        <f t="shared" si="3"/>
        <v>289.403</v>
      </c>
      <c r="F25">
        <f>66518+66948</f>
        <v>133466</v>
      </c>
      <c r="G25" s="2">
        <f t="shared" si="1"/>
        <v>3.11420666666667</v>
      </c>
      <c r="H25" s="3">
        <v>0</v>
      </c>
    </row>
    <row r="26" spans="1:8">
      <c r="A26">
        <v>29</v>
      </c>
      <c r="B26">
        <v>30</v>
      </c>
      <c r="C26" s="2">
        <v>358.89</v>
      </c>
      <c r="D26" s="4">
        <v>289.403</v>
      </c>
      <c r="E26" s="4">
        <f t="shared" si="3"/>
        <v>289.198</v>
      </c>
      <c r="F26">
        <v>61121</v>
      </c>
      <c r="G26" s="2">
        <f t="shared" si="1"/>
        <v>1.42615666666667</v>
      </c>
      <c r="H26" s="3">
        <v>3.5</v>
      </c>
    </row>
    <row r="27" spans="1:8">
      <c r="A27">
        <v>30</v>
      </c>
      <c r="B27">
        <v>31</v>
      </c>
      <c r="C27" s="2">
        <v>319.83</v>
      </c>
      <c r="D27" s="4">
        <v>289.198</v>
      </c>
      <c r="E27" s="4">
        <f t="shared" si="3"/>
        <v>289.013</v>
      </c>
      <c r="F27">
        <v>66639</v>
      </c>
      <c r="G27" s="2">
        <f t="shared" si="1"/>
        <v>1.55491</v>
      </c>
      <c r="H27" s="3">
        <v>0</v>
      </c>
    </row>
    <row r="28" spans="1:8">
      <c r="A28">
        <v>31</v>
      </c>
      <c r="B28">
        <v>32</v>
      </c>
      <c r="C28" s="2">
        <v>395.87</v>
      </c>
      <c r="D28" s="4">
        <v>289.013</v>
      </c>
      <c r="E28" s="4">
        <f t="shared" si="3"/>
        <v>288.703</v>
      </c>
      <c r="F28">
        <v>70705</v>
      </c>
      <c r="G28" s="2">
        <f t="shared" si="1"/>
        <v>1.64978333333333</v>
      </c>
      <c r="H28" s="3">
        <v>0</v>
      </c>
    </row>
    <row r="29" spans="1:8">
      <c r="A29">
        <v>32</v>
      </c>
      <c r="B29">
        <v>33</v>
      </c>
      <c r="C29" s="2">
        <v>504.11</v>
      </c>
      <c r="D29" s="4">
        <v>288.703</v>
      </c>
      <c r="E29" s="4">
        <f t="shared" si="3"/>
        <v>288.297</v>
      </c>
      <c r="F29">
        <v>111219</v>
      </c>
      <c r="G29" s="2">
        <f t="shared" si="1"/>
        <v>2.59511</v>
      </c>
      <c r="H29" s="3">
        <v>0</v>
      </c>
    </row>
    <row r="30" spans="1:8">
      <c r="A30">
        <v>33</v>
      </c>
      <c r="B30">
        <v>23</v>
      </c>
      <c r="C30" s="2">
        <v>537.15</v>
      </c>
      <c r="D30" s="4">
        <v>288.297</v>
      </c>
      <c r="E30" s="4">
        <v>287.815</v>
      </c>
      <c r="F30">
        <v>119161</v>
      </c>
      <c r="G30" s="2">
        <f t="shared" si="1"/>
        <v>2.78042333333333</v>
      </c>
      <c r="H30" s="3">
        <v>0</v>
      </c>
    </row>
    <row r="31" spans="1:8">
      <c r="A31">
        <v>10</v>
      </c>
      <c r="B31">
        <v>21</v>
      </c>
      <c r="C31" s="2">
        <v>421.52</v>
      </c>
      <c r="D31" s="4">
        <v>288.983</v>
      </c>
      <c r="E31" s="4">
        <f>D32</f>
        <v>288.435</v>
      </c>
      <c r="F31">
        <f>155844+170977</f>
        <v>326821</v>
      </c>
      <c r="G31" s="2">
        <f t="shared" si="1"/>
        <v>7.62582333333333</v>
      </c>
      <c r="H31" s="3">
        <v>0</v>
      </c>
    </row>
    <row r="32" spans="1:8">
      <c r="A32">
        <v>21</v>
      </c>
      <c r="B32">
        <v>22</v>
      </c>
      <c r="C32" s="2">
        <v>623.37</v>
      </c>
      <c r="D32" s="4">
        <v>288.435</v>
      </c>
      <c r="E32" s="4">
        <f>D33</f>
        <v>287.954</v>
      </c>
      <c r="F32">
        <f>112681+174562</f>
        <v>287243</v>
      </c>
      <c r="G32" s="2">
        <f t="shared" si="1"/>
        <v>6.70233666666667</v>
      </c>
      <c r="H32" s="3">
        <v>0</v>
      </c>
    </row>
    <row r="33" spans="1:8">
      <c r="A33">
        <v>22</v>
      </c>
      <c r="B33">
        <v>23</v>
      </c>
      <c r="C33" s="2">
        <v>501.22</v>
      </c>
      <c r="D33" s="4">
        <v>287.954</v>
      </c>
      <c r="E33" s="4">
        <f>D34</f>
        <v>287.815</v>
      </c>
      <c r="F33">
        <v>0</v>
      </c>
      <c r="G33" s="2">
        <f t="shared" si="1"/>
        <v>0</v>
      </c>
      <c r="H33" s="3">
        <v>0</v>
      </c>
    </row>
    <row r="34" spans="1:8">
      <c r="A34">
        <v>23</v>
      </c>
      <c r="B34">
        <v>44</v>
      </c>
      <c r="C34" s="2">
        <v>561.58</v>
      </c>
      <c r="D34" s="4">
        <v>287.815</v>
      </c>
      <c r="E34" s="4">
        <v>287.74</v>
      </c>
      <c r="F34">
        <v>0</v>
      </c>
      <c r="G34" s="2">
        <f t="shared" si="1"/>
        <v>0</v>
      </c>
      <c r="H34" s="3">
        <v>0</v>
      </c>
    </row>
    <row r="35" spans="1:8">
      <c r="A35">
        <v>34</v>
      </c>
      <c r="B35">
        <v>35</v>
      </c>
      <c r="C35" s="2">
        <v>391.76</v>
      </c>
      <c r="D35" s="4">
        <v>290.437</v>
      </c>
      <c r="E35" s="4">
        <f t="shared" ref="E35:E47" si="4">D36</f>
        <v>290.169</v>
      </c>
      <c r="F35">
        <f>257832+173999+214069+164070</f>
        <v>809970</v>
      </c>
      <c r="G35" s="2">
        <f t="shared" si="1"/>
        <v>18.8993</v>
      </c>
      <c r="H35" s="3">
        <v>0</v>
      </c>
    </row>
    <row r="36" spans="1:8">
      <c r="A36">
        <v>35</v>
      </c>
      <c r="B36">
        <v>36</v>
      </c>
      <c r="C36" s="2">
        <v>182.2</v>
      </c>
      <c r="D36" s="4">
        <v>290.169</v>
      </c>
      <c r="E36" s="4">
        <f t="shared" si="4"/>
        <v>290.048</v>
      </c>
      <c r="F36">
        <v>133783</v>
      </c>
      <c r="G36" s="2">
        <f t="shared" si="1"/>
        <v>3.12160333333333</v>
      </c>
      <c r="H36" s="3">
        <v>0</v>
      </c>
    </row>
    <row r="37" spans="1:8">
      <c r="A37">
        <v>36</v>
      </c>
      <c r="B37">
        <v>37</v>
      </c>
      <c r="C37" s="2">
        <v>394.53</v>
      </c>
      <c r="D37" s="4">
        <v>290.048</v>
      </c>
      <c r="E37" s="4">
        <f t="shared" si="4"/>
        <v>289.81</v>
      </c>
      <c r="F37">
        <f>90042+28287+382732</f>
        <v>501061</v>
      </c>
      <c r="G37" s="2">
        <f t="shared" si="1"/>
        <v>11.6914233333333</v>
      </c>
      <c r="H37" s="3">
        <v>0</v>
      </c>
    </row>
    <row r="38" spans="1:8">
      <c r="A38">
        <v>37</v>
      </c>
      <c r="B38">
        <v>38</v>
      </c>
      <c r="C38" s="2">
        <v>515.06</v>
      </c>
      <c r="D38" s="4">
        <v>289.81</v>
      </c>
      <c r="E38" s="4">
        <f t="shared" si="4"/>
        <v>289.484</v>
      </c>
      <c r="F38">
        <f>143855+112182</f>
        <v>256037</v>
      </c>
      <c r="G38" s="2">
        <f t="shared" si="1"/>
        <v>5.97419666666667</v>
      </c>
      <c r="H38" s="3">
        <v>0</v>
      </c>
    </row>
    <row r="39" spans="1:8">
      <c r="A39">
        <v>38</v>
      </c>
      <c r="B39">
        <v>39</v>
      </c>
      <c r="C39" s="2">
        <v>378.08</v>
      </c>
      <c r="D39" s="4">
        <v>289.484</v>
      </c>
      <c r="E39" s="4">
        <f t="shared" si="4"/>
        <v>289.31</v>
      </c>
      <c r="F39">
        <f>128676+91857</f>
        <v>220533</v>
      </c>
      <c r="G39" s="2">
        <f t="shared" si="1"/>
        <v>5.14577</v>
      </c>
      <c r="H39" s="3">
        <v>0</v>
      </c>
    </row>
    <row r="40" spans="1:8">
      <c r="A40">
        <v>39</v>
      </c>
      <c r="B40">
        <v>40</v>
      </c>
      <c r="C40" s="2">
        <v>404.88</v>
      </c>
      <c r="D40" s="4">
        <v>289.31</v>
      </c>
      <c r="E40" s="4">
        <f t="shared" si="4"/>
        <v>289.088</v>
      </c>
      <c r="F40">
        <f>118956+105561</f>
        <v>224517</v>
      </c>
      <c r="G40" s="2">
        <f t="shared" si="1"/>
        <v>5.23873</v>
      </c>
      <c r="H40" s="3">
        <v>0</v>
      </c>
    </row>
    <row r="41" spans="1:8">
      <c r="A41">
        <v>40</v>
      </c>
      <c r="B41">
        <v>41</v>
      </c>
      <c r="C41" s="2">
        <v>342.43</v>
      </c>
      <c r="D41" s="4">
        <v>289.088</v>
      </c>
      <c r="E41" s="4">
        <f t="shared" si="4"/>
        <v>288.853</v>
      </c>
      <c r="F41">
        <f>103315+99643</f>
        <v>202958</v>
      </c>
      <c r="G41" s="2">
        <f t="shared" si="1"/>
        <v>4.73568666666667</v>
      </c>
      <c r="H41" s="3">
        <v>0</v>
      </c>
    </row>
    <row r="42" spans="1:8">
      <c r="A42">
        <v>41</v>
      </c>
      <c r="B42">
        <v>42</v>
      </c>
      <c r="C42" s="2">
        <v>338.15</v>
      </c>
      <c r="D42" s="4">
        <v>288.853</v>
      </c>
      <c r="E42" s="4">
        <f t="shared" si="4"/>
        <v>288.557</v>
      </c>
      <c r="F42">
        <f>91664+95299</f>
        <v>186963</v>
      </c>
      <c r="G42" s="2">
        <f t="shared" si="1"/>
        <v>4.36247</v>
      </c>
      <c r="H42" s="3">
        <v>0</v>
      </c>
    </row>
    <row r="43" spans="1:8">
      <c r="A43">
        <v>42</v>
      </c>
      <c r="B43">
        <v>43</v>
      </c>
      <c r="C43" s="2">
        <v>522.54</v>
      </c>
      <c r="D43" s="4">
        <v>288.557</v>
      </c>
      <c r="E43" s="4">
        <f t="shared" si="4"/>
        <v>288.158</v>
      </c>
      <c r="F43">
        <f>146962+143037</f>
        <v>289999</v>
      </c>
      <c r="G43" s="2">
        <f t="shared" si="1"/>
        <v>6.76664333333333</v>
      </c>
      <c r="H43" s="3">
        <v>0</v>
      </c>
    </row>
    <row r="44" spans="1:8">
      <c r="A44">
        <v>43</v>
      </c>
      <c r="B44">
        <v>44</v>
      </c>
      <c r="C44" s="2">
        <v>540.67</v>
      </c>
      <c r="D44" s="4">
        <v>288.158</v>
      </c>
      <c r="E44" s="4">
        <f t="shared" si="4"/>
        <v>287.74</v>
      </c>
      <c r="F44">
        <f>155154+162170</f>
        <v>317324</v>
      </c>
      <c r="G44" s="2">
        <f t="shared" si="1"/>
        <v>7.40422666666667</v>
      </c>
      <c r="H44" s="3">
        <v>0</v>
      </c>
    </row>
    <row r="45" spans="1:8">
      <c r="A45">
        <v>44</v>
      </c>
      <c r="B45">
        <v>83</v>
      </c>
      <c r="C45" s="2">
        <v>856.09</v>
      </c>
      <c r="D45" s="4">
        <v>287.74</v>
      </c>
      <c r="E45" s="4">
        <f t="shared" si="4"/>
        <v>287.604</v>
      </c>
      <c r="F45">
        <v>0</v>
      </c>
      <c r="G45" s="2">
        <f t="shared" si="1"/>
        <v>0</v>
      </c>
      <c r="H45" s="3">
        <v>1.5</v>
      </c>
    </row>
    <row r="46" spans="1:8">
      <c r="A46">
        <v>83</v>
      </c>
      <c r="B46">
        <v>84</v>
      </c>
      <c r="C46" s="2">
        <v>153.18</v>
      </c>
      <c r="D46" s="4">
        <v>287.604</v>
      </c>
      <c r="E46" s="4">
        <f t="shared" si="4"/>
        <v>287.558</v>
      </c>
      <c r="F46">
        <v>0</v>
      </c>
      <c r="G46" s="2">
        <f t="shared" si="1"/>
        <v>0</v>
      </c>
      <c r="H46" s="3">
        <v>0</v>
      </c>
    </row>
    <row r="47" spans="1:8">
      <c r="A47">
        <v>84</v>
      </c>
      <c r="B47">
        <v>85</v>
      </c>
      <c r="C47" s="2">
        <v>240.31</v>
      </c>
      <c r="D47" s="4">
        <v>287.558</v>
      </c>
      <c r="E47">
        <f t="shared" si="4"/>
        <v>287.479</v>
      </c>
      <c r="F47">
        <v>0</v>
      </c>
      <c r="G47" s="2">
        <f t="shared" si="1"/>
        <v>0</v>
      </c>
      <c r="H47" s="3">
        <v>0</v>
      </c>
    </row>
    <row r="48" spans="1:8">
      <c r="A48">
        <v>85</v>
      </c>
      <c r="B48">
        <v>86</v>
      </c>
      <c r="C48">
        <v>439.37</v>
      </c>
      <c r="D48" s="4">
        <v>287.479</v>
      </c>
      <c r="E48">
        <v>287.356</v>
      </c>
      <c r="F48">
        <v>0</v>
      </c>
      <c r="G48" s="2">
        <f t="shared" si="1"/>
        <v>0</v>
      </c>
      <c r="H48" s="3">
        <v>0</v>
      </c>
    </row>
    <row r="49" spans="7:7">
      <c r="G49" s="2"/>
    </row>
    <row r="50" spans="7:7">
      <c r="G50" s="2"/>
    </row>
    <row r="51" spans="7:7">
      <c r="G51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zoomScale="130" zoomScaleNormal="130" topLeftCell="A15" workbookViewId="0">
      <selection activeCell="A34" sqref="A34"/>
    </sheetView>
  </sheetViews>
  <sheetFormatPr defaultColWidth="9" defaultRowHeight="13.5" outlineLevelCol="7"/>
  <cols>
    <col min="3" max="3" width="10.625" style="1" customWidth="1"/>
    <col min="4" max="4" width="15.125" style="1" customWidth="1"/>
    <col min="5" max="5" width="14.75" style="1" customWidth="1"/>
    <col min="6" max="6" width="16.125" style="1" customWidth="1"/>
    <col min="7" max="7" width="16.25" style="2" customWidth="1"/>
    <col min="8" max="8" width="16.375" style="3" customWidth="1"/>
  </cols>
  <sheetData>
    <row r="1" ht="15.75" customHeight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4" t="s">
        <v>7</v>
      </c>
    </row>
    <row r="2" spans="1:8">
      <c r="A2">
        <v>45</v>
      </c>
      <c r="B2">
        <v>46</v>
      </c>
      <c r="C2" s="2">
        <v>414.14</v>
      </c>
      <c r="D2" s="4">
        <v>289.859</v>
      </c>
      <c r="E2" s="4">
        <f t="shared" ref="E2:E10" si="0">D3</f>
        <v>289.764</v>
      </c>
      <c r="F2">
        <f>174753+158478</f>
        <v>333231</v>
      </c>
      <c r="G2" s="2">
        <f t="shared" ref="G2:G40" si="1">110*F2/10000*170/24/3600*1.4</f>
        <v>10.0972078472222</v>
      </c>
      <c r="H2" s="3">
        <v>0</v>
      </c>
    </row>
    <row r="3" spans="1:8">
      <c r="A3">
        <v>46</v>
      </c>
      <c r="B3">
        <v>47</v>
      </c>
      <c r="C3" s="2">
        <v>1065.87</v>
      </c>
      <c r="D3" s="4">
        <v>289.764</v>
      </c>
      <c r="E3" s="4">
        <f t="shared" si="0"/>
        <v>289.482</v>
      </c>
      <c r="F3">
        <f>729343+990865</f>
        <v>1720208</v>
      </c>
      <c r="G3" s="2">
        <f t="shared" si="1"/>
        <v>52.1238951851852</v>
      </c>
      <c r="H3" s="3">
        <v>0</v>
      </c>
    </row>
    <row r="4" spans="1:8">
      <c r="A4">
        <v>47</v>
      </c>
      <c r="B4">
        <v>48</v>
      </c>
      <c r="C4" s="2">
        <v>637.37</v>
      </c>
      <c r="D4" s="4">
        <v>289.482</v>
      </c>
      <c r="E4" s="4">
        <f t="shared" si="0"/>
        <v>289.249</v>
      </c>
      <c r="F4">
        <v>574316</v>
      </c>
      <c r="G4" s="2">
        <f t="shared" si="1"/>
        <v>17.4023065740741</v>
      </c>
      <c r="H4" s="3">
        <v>0</v>
      </c>
    </row>
    <row r="5" spans="1:8">
      <c r="A5">
        <v>48</v>
      </c>
      <c r="B5">
        <v>49</v>
      </c>
      <c r="C5" s="2">
        <v>442.25</v>
      </c>
      <c r="D5" s="4">
        <v>289.249</v>
      </c>
      <c r="E5" s="4">
        <f t="shared" si="0"/>
        <v>289.007</v>
      </c>
      <c r="F5">
        <v>212797</v>
      </c>
      <c r="G5" s="2">
        <f t="shared" si="1"/>
        <v>6.44794613425926</v>
      </c>
      <c r="H5" s="3">
        <v>0</v>
      </c>
    </row>
    <row r="6" spans="1:8">
      <c r="A6">
        <v>49</v>
      </c>
      <c r="B6">
        <v>50</v>
      </c>
      <c r="C6" s="2">
        <v>314.84</v>
      </c>
      <c r="D6" s="4">
        <v>289.007</v>
      </c>
      <c r="E6" s="4">
        <f t="shared" si="0"/>
        <v>288.773</v>
      </c>
      <c r="F6">
        <v>449201</v>
      </c>
      <c r="G6" s="2">
        <f t="shared" si="1"/>
        <v>13.6112062268519</v>
      </c>
      <c r="H6" s="3">
        <v>3</v>
      </c>
    </row>
    <row r="7" spans="1:8">
      <c r="A7">
        <v>50</v>
      </c>
      <c r="B7">
        <v>51</v>
      </c>
      <c r="C7" s="2">
        <v>504.35</v>
      </c>
      <c r="D7" s="4">
        <v>288.773</v>
      </c>
      <c r="E7" s="4">
        <f t="shared" si="0"/>
        <v>288.333</v>
      </c>
      <c r="F7">
        <f>183530+241199+470340</f>
        <v>895069</v>
      </c>
      <c r="G7" s="2">
        <f t="shared" si="1"/>
        <v>27.1214194675926</v>
      </c>
      <c r="H7" s="3">
        <v>0</v>
      </c>
    </row>
    <row r="8" spans="1:8">
      <c r="A8">
        <v>51</v>
      </c>
      <c r="B8">
        <v>52</v>
      </c>
      <c r="C8" s="2">
        <v>720.48</v>
      </c>
      <c r="D8" s="4">
        <v>288.333</v>
      </c>
      <c r="E8" s="4">
        <f t="shared" si="0"/>
        <v>287.818</v>
      </c>
      <c r="F8">
        <v>530131</v>
      </c>
      <c r="G8" s="2">
        <f t="shared" si="1"/>
        <v>16.063460162037</v>
      </c>
      <c r="H8" s="3">
        <v>0</v>
      </c>
    </row>
    <row r="9" spans="1:8">
      <c r="A9">
        <v>52</v>
      </c>
      <c r="B9">
        <v>53</v>
      </c>
      <c r="C9" s="2">
        <v>431.5</v>
      </c>
      <c r="D9" s="4">
        <v>287.818</v>
      </c>
      <c r="E9" s="4">
        <f t="shared" si="0"/>
        <v>287.473</v>
      </c>
      <c r="F9">
        <v>215928</v>
      </c>
      <c r="G9" s="2">
        <f t="shared" si="1"/>
        <v>6.54281833333333</v>
      </c>
      <c r="H9" s="3">
        <v>0</v>
      </c>
    </row>
    <row r="10" spans="1:8">
      <c r="A10">
        <v>53</v>
      </c>
      <c r="B10">
        <v>54</v>
      </c>
      <c r="C10" s="2">
        <v>506.51</v>
      </c>
      <c r="D10" s="4">
        <v>287.473</v>
      </c>
      <c r="E10" s="4">
        <f t="shared" si="0"/>
        <v>287.123</v>
      </c>
      <c r="F10">
        <f>278966+366247</f>
        <v>645213</v>
      </c>
      <c r="G10" s="2">
        <f t="shared" si="1"/>
        <v>19.5505513194444</v>
      </c>
      <c r="H10" s="3">
        <v>0</v>
      </c>
    </row>
    <row r="11" spans="1:8">
      <c r="A11">
        <v>54</v>
      </c>
      <c r="B11">
        <v>55</v>
      </c>
      <c r="C11" s="2">
        <v>865.49</v>
      </c>
      <c r="D11" s="4">
        <v>287.123</v>
      </c>
      <c r="E11" s="4">
        <v>287.61</v>
      </c>
      <c r="F11">
        <v>0</v>
      </c>
      <c r="G11" s="2">
        <f t="shared" si="1"/>
        <v>0</v>
      </c>
      <c r="H11" s="3">
        <v>0</v>
      </c>
    </row>
    <row r="12" spans="1:8">
      <c r="A12">
        <v>56</v>
      </c>
      <c r="B12">
        <v>57</v>
      </c>
      <c r="C12" s="2">
        <v>258.44</v>
      </c>
      <c r="D12" s="4">
        <v>289.06</v>
      </c>
      <c r="E12" s="4">
        <f t="shared" ref="E12:E17" si="2">D13</f>
        <v>288.86</v>
      </c>
      <c r="F12">
        <f>56003+54560+267962</f>
        <v>378525</v>
      </c>
      <c r="G12" s="2">
        <f t="shared" si="1"/>
        <v>11.4696579861111</v>
      </c>
      <c r="H12" s="3">
        <v>0</v>
      </c>
    </row>
    <row r="13" spans="1:8">
      <c r="A13">
        <v>57</v>
      </c>
      <c r="B13">
        <v>58</v>
      </c>
      <c r="C13" s="2">
        <v>274.8</v>
      </c>
      <c r="D13" s="4">
        <v>288.86</v>
      </c>
      <c r="E13" s="4">
        <f t="shared" si="2"/>
        <v>288.61</v>
      </c>
      <c r="F13">
        <f>57197+100365</f>
        <v>157562</v>
      </c>
      <c r="G13" s="2">
        <f t="shared" si="1"/>
        <v>4.77427449074074</v>
      </c>
      <c r="H13" s="3">
        <v>0</v>
      </c>
    </row>
    <row r="14" spans="1:8">
      <c r="A14">
        <v>58</v>
      </c>
      <c r="B14">
        <v>59</v>
      </c>
      <c r="C14" s="2">
        <v>280.07</v>
      </c>
      <c r="D14" s="4">
        <v>288.61</v>
      </c>
      <c r="E14" s="4">
        <f t="shared" si="2"/>
        <v>288.36</v>
      </c>
      <c r="F14">
        <v>58343</v>
      </c>
      <c r="G14" s="2">
        <f t="shared" si="1"/>
        <v>1.7678469212963</v>
      </c>
      <c r="H14" s="3">
        <v>0</v>
      </c>
    </row>
    <row r="15" spans="1:8">
      <c r="A15">
        <v>59</v>
      </c>
      <c r="B15">
        <v>60</v>
      </c>
      <c r="C15" s="2">
        <v>133.92</v>
      </c>
      <c r="D15" s="4">
        <v>288.36</v>
      </c>
      <c r="E15" s="4">
        <f t="shared" si="2"/>
        <v>288.23</v>
      </c>
      <c r="F15">
        <v>148951</v>
      </c>
      <c r="G15" s="2">
        <f t="shared" si="1"/>
        <v>4.51335321759259</v>
      </c>
      <c r="H15" s="3">
        <v>0</v>
      </c>
    </row>
    <row r="16" spans="1:8">
      <c r="A16">
        <v>60</v>
      </c>
      <c r="B16">
        <v>61</v>
      </c>
      <c r="C16" s="2">
        <v>419.21</v>
      </c>
      <c r="D16" s="4">
        <v>288.23</v>
      </c>
      <c r="E16" s="4">
        <f t="shared" si="2"/>
        <v>287.87</v>
      </c>
      <c r="F16">
        <v>267230</v>
      </c>
      <c r="G16" s="2">
        <f t="shared" si="1"/>
        <v>8.09731643518518</v>
      </c>
      <c r="H16" s="3">
        <v>0</v>
      </c>
    </row>
    <row r="17" spans="1:8">
      <c r="A17">
        <v>61</v>
      </c>
      <c r="B17">
        <v>55</v>
      </c>
      <c r="C17" s="2">
        <v>310.77</v>
      </c>
      <c r="D17" s="4">
        <v>287.87</v>
      </c>
      <c r="E17" s="4">
        <f t="shared" si="2"/>
        <v>287.61</v>
      </c>
      <c r="F17">
        <f>59908+209186+624752</f>
        <v>893846</v>
      </c>
      <c r="G17" s="2">
        <f t="shared" si="1"/>
        <v>27.0843614351852</v>
      </c>
      <c r="H17" s="3">
        <v>0</v>
      </c>
    </row>
    <row r="18" spans="1:8">
      <c r="A18">
        <v>55</v>
      </c>
      <c r="B18">
        <v>68</v>
      </c>
      <c r="C18" s="2">
        <v>551.2</v>
      </c>
      <c r="D18" s="4">
        <v>287.61</v>
      </c>
      <c r="E18" s="4">
        <v>287.123</v>
      </c>
      <c r="F18">
        <v>0</v>
      </c>
      <c r="G18" s="2">
        <f t="shared" si="1"/>
        <v>0</v>
      </c>
      <c r="H18" s="3">
        <v>0</v>
      </c>
    </row>
    <row r="19" spans="1:8">
      <c r="A19">
        <v>62</v>
      </c>
      <c r="B19">
        <v>63</v>
      </c>
      <c r="C19" s="2">
        <v>247.71</v>
      </c>
      <c r="D19" s="4">
        <v>289.22</v>
      </c>
      <c r="E19" s="4">
        <f t="shared" ref="E19:E28" si="3">D20</f>
        <v>289.08</v>
      </c>
      <c r="F19">
        <f>54058+54874+57490+56026+62819</f>
        <v>285267</v>
      </c>
      <c r="G19" s="2">
        <f t="shared" si="1"/>
        <v>8.64385423611111</v>
      </c>
      <c r="H19" s="3">
        <v>0</v>
      </c>
    </row>
    <row r="20" spans="1:8">
      <c r="A20">
        <v>63</v>
      </c>
      <c r="B20">
        <v>64</v>
      </c>
      <c r="C20" s="2">
        <v>280.93</v>
      </c>
      <c r="D20" s="4">
        <v>289.08</v>
      </c>
      <c r="E20" s="4">
        <f t="shared" si="3"/>
        <v>288.87</v>
      </c>
      <c r="F20">
        <f>57517+57357+61132</f>
        <v>176006</v>
      </c>
      <c r="G20" s="2">
        <f t="shared" si="1"/>
        <v>5.33314476851852</v>
      </c>
      <c r="H20" s="3">
        <v>0</v>
      </c>
    </row>
    <row r="21" spans="1:8">
      <c r="A21">
        <v>64</v>
      </c>
      <c r="B21">
        <v>65</v>
      </c>
      <c r="C21" s="2">
        <v>284.69</v>
      </c>
      <c r="D21" s="4">
        <v>288.87</v>
      </c>
      <c r="E21" s="4">
        <f t="shared" si="3"/>
        <v>288.61</v>
      </c>
      <c r="F21">
        <f>59560+59155+63825</f>
        <v>182540</v>
      </c>
      <c r="G21" s="2">
        <f t="shared" si="1"/>
        <v>5.53113101851852</v>
      </c>
      <c r="H21" s="3">
        <v>0</v>
      </c>
    </row>
    <row r="22" spans="1:8">
      <c r="A22">
        <v>65</v>
      </c>
      <c r="B22">
        <v>66</v>
      </c>
      <c r="C22" s="2">
        <v>252.83</v>
      </c>
      <c r="D22" s="4">
        <v>288.61</v>
      </c>
      <c r="E22" s="4">
        <f t="shared" si="3"/>
        <v>288.39</v>
      </c>
      <c r="F22">
        <f>55578+58820</f>
        <v>114398</v>
      </c>
      <c r="G22" s="2">
        <f t="shared" si="1"/>
        <v>3.46636532407407</v>
      </c>
      <c r="H22" s="3">
        <v>0</v>
      </c>
    </row>
    <row r="23" spans="1:8">
      <c r="A23">
        <v>66</v>
      </c>
      <c r="B23">
        <v>67</v>
      </c>
      <c r="C23" s="2">
        <v>299.19</v>
      </c>
      <c r="D23" s="4">
        <v>288.39</v>
      </c>
      <c r="E23" s="4">
        <f t="shared" si="3"/>
        <v>288.12</v>
      </c>
      <c r="F23">
        <f>60228+63844</f>
        <v>124072</v>
      </c>
      <c r="G23" s="2">
        <f t="shared" si="1"/>
        <v>3.75949648148148</v>
      </c>
      <c r="H23" s="3">
        <v>0</v>
      </c>
    </row>
    <row r="24" spans="1:8">
      <c r="A24">
        <v>67</v>
      </c>
      <c r="B24">
        <v>68</v>
      </c>
      <c r="C24" s="2">
        <v>304.2</v>
      </c>
      <c r="D24" s="4">
        <v>288.12</v>
      </c>
      <c r="E24" s="4">
        <f t="shared" si="3"/>
        <v>287.87</v>
      </c>
      <c r="F24">
        <f>58485+59711+61171</f>
        <v>179367</v>
      </c>
      <c r="G24" s="2">
        <f t="shared" si="1"/>
        <v>5.43498618055555</v>
      </c>
      <c r="H24" s="3">
        <v>0</v>
      </c>
    </row>
    <row r="25" spans="1:8">
      <c r="A25">
        <v>68</v>
      </c>
      <c r="B25">
        <v>69</v>
      </c>
      <c r="C25" s="2">
        <v>268.37</v>
      </c>
      <c r="D25" s="4">
        <v>287.87</v>
      </c>
      <c r="E25" s="4">
        <f t="shared" si="3"/>
        <v>287.67</v>
      </c>
      <c r="F25">
        <f>54584+52810+58871+49657</f>
        <v>215922</v>
      </c>
      <c r="G25" s="2">
        <f t="shared" si="1"/>
        <v>6.54263652777778</v>
      </c>
      <c r="H25" s="3">
        <v>1.5</v>
      </c>
    </row>
    <row r="26" spans="1:8">
      <c r="A26">
        <v>69</v>
      </c>
      <c r="B26">
        <v>70</v>
      </c>
      <c r="C26" s="2">
        <v>266.38</v>
      </c>
      <c r="D26" s="4">
        <v>287.67</v>
      </c>
      <c r="E26" s="4">
        <f t="shared" si="3"/>
        <v>287.47</v>
      </c>
      <c r="F26">
        <f>56993+56910+60081+54726</f>
        <v>228710</v>
      </c>
      <c r="G26" s="2">
        <f t="shared" si="1"/>
        <v>6.93012476851852</v>
      </c>
      <c r="H26" s="3">
        <v>0</v>
      </c>
    </row>
    <row r="27" spans="1:8">
      <c r="A27">
        <v>70</v>
      </c>
      <c r="B27">
        <v>71</v>
      </c>
      <c r="C27" s="2">
        <v>274.07</v>
      </c>
      <c r="D27" s="4">
        <v>287.47</v>
      </c>
      <c r="E27" s="4">
        <f t="shared" si="3"/>
        <v>287.28</v>
      </c>
      <c r="F27">
        <f>55454+58895</f>
        <v>114349</v>
      </c>
      <c r="G27" s="2">
        <f t="shared" si="1"/>
        <v>3.4648805787037</v>
      </c>
      <c r="H27" s="3">
        <v>0</v>
      </c>
    </row>
    <row r="28" spans="1:8">
      <c r="A28">
        <v>71</v>
      </c>
      <c r="B28">
        <v>72</v>
      </c>
      <c r="C28" s="2">
        <v>303.54</v>
      </c>
      <c r="D28" s="4">
        <v>287.28</v>
      </c>
      <c r="E28" s="4">
        <f t="shared" si="3"/>
        <v>288.07</v>
      </c>
      <c r="F28">
        <f>121088+57891+61049</f>
        <v>240028</v>
      </c>
      <c r="G28" s="2">
        <f t="shared" si="1"/>
        <v>7.27307064814815</v>
      </c>
      <c r="H28" s="3">
        <v>0</v>
      </c>
    </row>
    <row r="29" spans="1:8">
      <c r="A29">
        <v>72</v>
      </c>
      <c r="B29">
        <v>86</v>
      </c>
      <c r="C29" s="2">
        <v>814.28</v>
      </c>
      <c r="D29" s="4">
        <v>288.07</v>
      </c>
      <c r="E29" s="4">
        <v>287.356</v>
      </c>
      <c r="F29">
        <v>0</v>
      </c>
      <c r="G29" s="2">
        <f t="shared" si="1"/>
        <v>0</v>
      </c>
      <c r="H29" s="3">
        <v>0</v>
      </c>
    </row>
    <row r="30" spans="1:8">
      <c r="A30">
        <v>73</v>
      </c>
      <c r="B30">
        <v>74</v>
      </c>
      <c r="C30" s="2">
        <v>284.36</v>
      </c>
      <c r="D30" s="4">
        <v>289.43</v>
      </c>
      <c r="E30" s="4">
        <f t="shared" ref="E30:E38" si="4">D31</f>
        <v>289.273</v>
      </c>
      <c r="F30">
        <f>121955+52101+107906+62324+51853</f>
        <v>396139</v>
      </c>
      <c r="G30" s="2">
        <f t="shared" si="1"/>
        <v>12.0033784953704</v>
      </c>
      <c r="H30" s="3">
        <v>0</v>
      </c>
    </row>
    <row r="31" spans="1:8">
      <c r="A31">
        <v>74</v>
      </c>
      <c r="B31">
        <v>75</v>
      </c>
      <c r="C31" s="2">
        <v>274.17</v>
      </c>
      <c r="D31" s="4">
        <v>289.273</v>
      </c>
      <c r="E31" s="4">
        <f t="shared" si="4"/>
        <v>289.123</v>
      </c>
      <c r="F31">
        <f>57992+58154+49731</f>
        <v>165877</v>
      </c>
      <c r="G31" s="2">
        <f t="shared" si="1"/>
        <v>5.02622668981481</v>
      </c>
      <c r="H31" s="3">
        <v>0</v>
      </c>
    </row>
    <row r="32" spans="1:8">
      <c r="A32">
        <v>75</v>
      </c>
      <c r="B32">
        <v>76</v>
      </c>
      <c r="C32" s="2">
        <v>288.84</v>
      </c>
      <c r="D32" s="4">
        <v>289.123</v>
      </c>
      <c r="E32" s="4">
        <f t="shared" si="4"/>
        <v>288.845</v>
      </c>
      <c r="F32">
        <f>62110+61695+52931</f>
        <v>176736</v>
      </c>
      <c r="G32" s="2">
        <f t="shared" si="1"/>
        <v>5.35526444444444</v>
      </c>
      <c r="H32" s="3">
        <v>0</v>
      </c>
    </row>
    <row r="33" spans="1:8">
      <c r="A33">
        <v>76</v>
      </c>
      <c r="B33">
        <v>77</v>
      </c>
      <c r="C33" s="2">
        <v>266.19</v>
      </c>
      <c r="D33" s="4">
        <v>288.845</v>
      </c>
      <c r="E33" s="4">
        <f t="shared" si="4"/>
        <v>288.711</v>
      </c>
      <c r="F33">
        <f>56034+55953+48685</f>
        <v>160672</v>
      </c>
      <c r="G33" s="2">
        <f t="shared" si="1"/>
        <v>4.86851037037037</v>
      </c>
      <c r="H33" s="3">
        <v>0</v>
      </c>
    </row>
    <row r="34" spans="1:8">
      <c r="A34">
        <v>77</v>
      </c>
      <c r="B34">
        <v>78</v>
      </c>
      <c r="C34" s="2">
        <v>288.72</v>
      </c>
      <c r="D34" s="4">
        <v>288.711</v>
      </c>
      <c r="E34" s="4">
        <f t="shared" si="4"/>
        <v>288.459</v>
      </c>
      <c r="F34">
        <f>60882+60890+53251</f>
        <v>175023</v>
      </c>
      <c r="G34" s="2">
        <f t="shared" si="1"/>
        <v>5.30335895833333</v>
      </c>
      <c r="H34" s="3">
        <v>0</v>
      </c>
    </row>
    <row r="35" spans="1:8">
      <c r="A35">
        <v>78</v>
      </c>
      <c r="B35">
        <v>79</v>
      </c>
      <c r="C35" s="2">
        <v>295.87</v>
      </c>
      <c r="D35" s="4">
        <v>288.459</v>
      </c>
      <c r="E35" s="4">
        <f t="shared" si="4"/>
        <v>288.205</v>
      </c>
      <c r="F35">
        <f>58497+58420+51485</f>
        <v>168402</v>
      </c>
      <c r="G35" s="2">
        <f t="shared" si="1"/>
        <v>5.10273652777778</v>
      </c>
      <c r="H35" s="3">
        <v>0</v>
      </c>
    </row>
    <row r="36" spans="1:8">
      <c r="A36">
        <v>79</v>
      </c>
      <c r="B36">
        <v>80</v>
      </c>
      <c r="C36" s="2">
        <v>283.27</v>
      </c>
      <c r="D36" s="4">
        <v>288.205</v>
      </c>
      <c r="E36" s="4">
        <f t="shared" si="4"/>
        <v>287.974</v>
      </c>
      <c r="F36">
        <f>57684+57119+50434</f>
        <v>165237</v>
      </c>
      <c r="G36" s="2">
        <f t="shared" si="1"/>
        <v>5.00683409722222</v>
      </c>
      <c r="H36" s="3">
        <v>0</v>
      </c>
    </row>
    <row r="37" spans="1:8">
      <c r="A37">
        <v>80</v>
      </c>
      <c r="B37">
        <v>81</v>
      </c>
      <c r="C37" s="2">
        <v>270.85</v>
      </c>
      <c r="D37" s="4">
        <v>287.974</v>
      </c>
      <c r="E37" s="4">
        <f t="shared" si="4"/>
        <v>287.779</v>
      </c>
      <c r="F37">
        <f>57537+57375+51571</f>
        <v>166483</v>
      </c>
      <c r="G37" s="2">
        <f t="shared" si="1"/>
        <v>5.04458905092593</v>
      </c>
      <c r="H37" s="3">
        <v>2</v>
      </c>
    </row>
    <row r="38" spans="1:8">
      <c r="A38">
        <v>81</v>
      </c>
      <c r="B38">
        <v>82</v>
      </c>
      <c r="C38" s="2">
        <v>271.21</v>
      </c>
      <c r="D38" s="4">
        <v>287.779</v>
      </c>
      <c r="E38" s="4">
        <f t="shared" si="4"/>
        <v>287.597</v>
      </c>
      <c r="F38">
        <f>56630+56471+50931</f>
        <v>164032</v>
      </c>
      <c r="G38" s="2">
        <f t="shared" si="1"/>
        <v>4.97032148148148</v>
      </c>
      <c r="H38" s="3">
        <v>0</v>
      </c>
    </row>
    <row r="39" spans="1:8">
      <c r="A39">
        <v>82</v>
      </c>
      <c r="B39">
        <v>86</v>
      </c>
      <c r="C39" s="2">
        <v>351.54</v>
      </c>
      <c r="D39" s="4">
        <v>287.597</v>
      </c>
      <c r="E39" s="4">
        <v>287.356</v>
      </c>
      <c r="F39">
        <f>58443+58358+52958</f>
        <v>169759</v>
      </c>
      <c r="G39" s="2">
        <f t="shared" si="1"/>
        <v>5.14385488425926</v>
      </c>
      <c r="H39" s="3">
        <v>0</v>
      </c>
    </row>
    <row r="40" spans="1:8">
      <c r="A40">
        <v>86</v>
      </c>
      <c r="B40">
        <v>87</v>
      </c>
      <c r="C40" s="2">
        <v>755.55</v>
      </c>
      <c r="D40" s="4">
        <v>287.356</v>
      </c>
      <c r="E40" s="4">
        <v>286.8</v>
      </c>
      <c r="F40">
        <v>0</v>
      </c>
      <c r="G40" s="2">
        <f t="shared" si="1"/>
        <v>0</v>
      </c>
      <c r="H40" s="3">
        <v>0</v>
      </c>
    </row>
    <row r="41" spans="1:8">
      <c r="C41" s="2"/>
      <c r="D41" s="4"/>
      <c r="E41" s="4"/>
      <c r="F41"/>
    </row>
    <row r="42" spans="1:8">
      <c r="C42" s="2"/>
      <c r="D42" s="4"/>
      <c r="E42" s="4"/>
      <c r="F42"/>
    </row>
    <row r="43" spans="1:8">
      <c r="C43" s="2"/>
      <c r="D43" s="4"/>
      <c r="E43" s="4"/>
      <c r="F43">
        <f>SUM(F2:F42)</f>
        <v>11249570</v>
      </c>
    </row>
    <row r="44" spans="1:8">
      <c r="C44" s="2"/>
      <c r="D44" s="4"/>
      <c r="E44" s="4"/>
      <c r="F44"/>
    </row>
    <row r="45" spans="1:8">
      <c r="C45" s="2"/>
      <c r="D45" s="4"/>
      <c r="E45" s="4"/>
      <c r="F4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8"/>
  <sheetViews>
    <sheetView tabSelected="1" workbookViewId="0">
      <selection activeCell="A1" sqref="A1"/>
    </sheetView>
  </sheetViews>
  <sheetFormatPr defaultColWidth="9" defaultRowHeight="13.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6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</row>
    <row r="2" spans="1:28">
      <c r="A2" t="s">
        <v>30</v>
      </c>
      <c r="B2" t="s">
        <v>31</v>
      </c>
      <c r="C2">
        <v>355.66</v>
      </c>
      <c r="D2">
        <v>291.022</v>
      </c>
      <c r="E2">
        <v>290.75</v>
      </c>
      <c r="F2">
        <v>496353</v>
      </c>
      <c r="G2">
        <v>11.58157</v>
      </c>
      <c r="H2">
        <v>0</v>
      </c>
      <c r="I2">
        <v>11.582</v>
      </c>
      <c r="J2">
        <v>300</v>
      </c>
      <c r="K2">
        <v>0.31</v>
      </c>
      <c r="L2">
        <v>0.003822</v>
      </c>
      <c r="M2">
        <v>0.621</v>
      </c>
      <c r="N2">
        <v>1</v>
      </c>
      <c r="O2">
        <v>0</v>
      </c>
      <c r="P2">
        <v>0</v>
      </c>
      <c r="Q2" t="s">
        <v>32</v>
      </c>
      <c r="R2">
        <v>0</v>
      </c>
      <c r="S2">
        <v>289.222</v>
      </c>
      <c r="T2">
        <v>287.863</v>
      </c>
      <c r="U2">
        <v>289.315</v>
      </c>
      <c r="V2">
        <v>287.956</v>
      </c>
      <c r="W2">
        <v>1.8</v>
      </c>
      <c r="X2">
        <v>1.5</v>
      </c>
      <c r="Y2">
        <v>2.887</v>
      </c>
      <c r="Z2">
        <v>2.587</v>
      </c>
      <c r="AA2" t="s">
        <v>33</v>
      </c>
      <c r="AB2" t="s">
        <v>34</v>
      </c>
    </row>
    <row r="3" spans="1:28">
      <c r="A3" t="s">
        <v>31</v>
      </c>
      <c r="B3" t="s">
        <v>35</v>
      </c>
      <c r="C3">
        <v>505.4</v>
      </c>
      <c r="D3">
        <v>290.75</v>
      </c>
      <c r="E3">
        <v>290.259</v>
      </c>
      <c r="F3">
        <v>349844</v>
      </c>
      <c r="G3">
        <v>8.16302666666667</v>
      </c>
      <c r="H3">
        <v>11.582</v>
      </c>
      <c r="I3">
        <v>19.745</v>
      </c>
      <c r="J3">
        <v>300</v>
      </c>
      <c r="K3">
        <v>0.44</v>
      </c>
      <c r="L3">
        <v>0.003018</v>
      </c>
      <c r="M3">
        <v>0.659</v>
      </c>
      <c r="N3">
        <v>1</v>
      </c>
      <c r="O3">
        <v>0</v>
      </c>
      <c r="P3">
        <v>0</v>
      </c>
      <c r="Q3" t="s">
        <v>32</v>
      </c>
      <c r="R3">
        <v>0</v>
      </c>
      <c r="S3">
        <v>287.824</v>
      </c>
      <c r="T3">
        <v>286.299</v>
      </c>
      <c r="U3">
        <v>287.956</v>
      </c>
      <c r="V3">
        <v>286.431</v>
      </c>
      <c r="W3">
        <v>2.926</v>
      </c>
      <c r="X3">
        <v>2.626</v>
      </c>
      <c r="Y3">
        <v>3.96</v>
      </c>
      <c r="Z3">
        <v>3.66</v>
      </c>
      <c r="AA3" t="s">
        <v>36</v>
      </c>
      <c r="AB3" t="s">
        <v>37</v>
      </c>
    </row>
    <row r="4" spans="1:28">
      <c r="A4" t="s">
        <v>35</v>
      </c>
      <c r="B4" t="s">
        <v>38</v>
      </c>
      <c r="C4">
        <v>249.04</v>
      </c>
      <c r="D4">
        <v>290.259</v>
      </c>
      <c r="E4">
        <v>290.164</v>
      </c>
      <c r="F4">
        <v>105854</v>
      </c>
      <c r="G4">
        <v>2.46992666666667</v>
      </c>
      <c r="H4">
        <v>19.745</v>
      </c>
      <c r="I4">
        <v>22.215</v>
      </c>
      <c r="J4">
        <v>300</v>
      </c>
      <c r="K4">
        <v>0.47</v>
      </c>
      <c r="L4">
        <v>0.003029</v>
      </c>
      <c r="M4">
        <v>0.68</v>
      </c>
      <c r="N4">
        <v>1</v>
      </c>
      <c r="O4">
        <v>0</v>
      </c>
      <c r="P4">
        <v>0</v>
      </c>
      <c r="Q4" t="s">
        <v>32</v>
      </c>
      <c r="R4">
        <v>0</v>
      </c>
      <c r="S4">
        <v>286.29</v>
      </c>
      <c r="T4">
        <v>285.536</v>
      </c>
      <c r="U4">
        <v>286.431</v>
      </c>
      <c r="V4">
        <v>285.677</v>
      </c>
      <c r="W4">
        <v>3.969</v>
      </c>
      <c r="X4">
        <v>3.669</v>
      </c>
      <c r="Y4">
        <v>4.628</v>
      </c>
      <c r="Z4">
        <v>4.328</v>
      </c>
      <c r="AA4" t="s">
        <v>36</v>
      </c>
      <c r="AB4" t="s">
        <v>39</v>
      </c>
    </row>
    <row r="5" spans="1:28">
      <c r="A5" t="s">
        <v>38</v>
      </c>
      <c r="B5" t="s">
        <v>40</v>
      </c>
      <c r="C5">
        <v>418.14</v>
      </c>
      <c r="D5">
        <v>290.164</v>
      </c>
      <c r="E5">
        <v>289.863</v>
      </c>
      <c r="F5">
        <v>288080</v>
      </c>
      <c r="G5">
        <v>6.72186666666667</v>
      </c>
      <c r="H5">
        <v>22.215</v>
      </c>
      <c r="I5">
        <v>28.936</v>
      </c>
      <c r="J5">
        <v>400</v>
      </c>
      <c r="K5">
        <v>0.4</v>
      </c>
      <c r="L5">
        <v>0.001972</v>
      </c>
      <c r="M5">
        <v>0.616</v>
      </c>
      <c r="N5">
        <v>1</v>
      </c>
      <c r="O5">
        <v>0</v>
      </c>
      <c r="P5">
        <v>0</v>
      </c>
      <c r="Q5" t="s">
        <v>32</v>
      </c>
      <c r="R5">
        <v>0</v>
      </c>
      <c r="S5">
        <v>285.436</v>
      </c>
      <c r="T5">
        <v>284.611</v>
      </c>
      <c r="U5">
        <v>285.596</v>
      </c>
      <c r="V5">
        <v>284.771</v>
      </c>
      <c r="W5">
        <v>4.728</v>
      </c>
      <c r="X5">
        <v>4.328</v>
      </c>
      <c r="Y5">
        <v>5.252</v>
      </c>
      <c r="Z5">
        <v>4.852</v>
      </c>
      <c r="AA5" t="s">
        <v>41</v>
      </c>
      <c r="AB5" t="s">
        <v>42</v>
      </c>
    </row>
    <row r="6" spans="1:28">
      <c r="A6" t="s">
        <v>40</v>
      </c>
      <c r="B6" t="s">
        <v>43</v>
      </c>
      <c r="C6">
        <v>330.64</v>
      </c>
      <c r="D6">
        <v>289.863</v>
      </c>
      <c r="E6">
        <v>289.645</v>
      </c>
      <c r="F6">
        <v>189597</v>
      </c>
      <c r="G6">
        <v>4.42393</v>
      </c>
      <c r="H6">
        <v>28.936</v>
      </c>
      <c r="I6">
        <v>33.36</v>
      </c>
      <c r="J6">
        <v>400</v>
      </c>
      <c r="K6">
        <v>0.45</v>
      </c>
      <c r="L6">
        <v>0.001715</v>
      </c>
      <c r="M6">
        <v>0.608</v>
      </c>
      <c r="N6">
        <v>1</v>
      </c>
      <c r="O6">
        <v>0</v>
      </c>
      <c r="P6">
        <v>0</v>
      </c>
      <c r="Q6" t="s">
        <v>32</v>
      </c>
      <c r="R6">
        <v>0</v>
      </c>
      <c r="S6">
        <v>284.591</v>
      </c>
      <c r="T6">
        <v>284.024</v>
      </c>
      <c r="U6">
        <v>284.771</v>
      </c>
      <c r="V6">
        <v>284.204</v>
      </c>
      <c r="W6">
        <v>5.272</v>
      </c>
      <c r="X6">
        <v>4.872</v>
      </c>
      <c r="Y6">
        <v>5.621</v>
      </c>
      <c r="Z6">
        <v>5.221</v>
      </c>
      <c r="AA6" t="s">
        <v>36</v>
      </c>
      <c r="AB6" t="s">
        <v>44</v>
      </c>
    </row>
    <row r="7" spans="1:28">
      <c r="A7" t="s">
        <v>43</v>
      </c>
      <c r="B7" t="s">
        <v>45</v>
      </c>
      <c r="C7">
        <v>380.33</v>
      </c>
      <c r="D7">
        <v>289.645</v>
      </c>
      <c r="E7">
        <v>289.4</v>
      </c>
      <c r="F7">
        <v>218594</v>
      </c>
      <c r="G7">
        <v>5.10052666666667</v>
      </c>
      <c r="H7">
        <v>33.36</v>
      </c>
      <c r="I7">
        <v>38.461</v>
      </c>
      <c r="J7">
        <v>400</v>
      </c>
      <c r="K7">
        <v>0.5</v>
      </c>
      <c r="L7">
        <v>0.001582</v>
      </c>
      <c r="M7">
        <v>0.612</v>
      </c>
      <c r="N7">
        <v>1</v>
      </c>
      <c r="O7">
        <v>1.91</v>
      </c>
      <c r="P7">
        <v>0</v>
      </c>
      <c r="Q7" t="s">
        <v>32</v>
      </c>
      <c r="R7">
        <v>0</v>
      </c>
      <c r="S7">
        <v>285.914</v>
      </c>
      <c r="T7">
        <v>285.312</v>
      </c>
      <c r="U7">
        <v>286.114</v>
      </c>
      <c r="V7">
        <v>285.512</v>
      </c>
      <c r="W7">
        <v>3.731</v>
      </c>
      <c r="X7">
        <v>3.331</v>
      </c>
      <c r="Y7">
        <v>4.088</v>
      </c>
      <c r="Z7">
        <v>3.688</v>
      </c>
      <c r="AA7" t="s">
        <v>36</v>
      </c>
      <c r="AB7" t="s">
        <v>46</v>
      </c>
    </row>
    <row r="8" spans="1:28">
      <c r="A8" t="s">
        <v>45</v>
      </c>
      <c r="B8" t="s">
        <v>47</v>
      </c>
      <c r="C8">
        <v>377.88</v>
      </c>
      <c r="D8">
        <v>289.4</v>
      </c>
      <c r="E8">
        <v>289.163</v>
      </c>
      <c r="F8">
        <v>197965</v>
      </c>
      <c r="G8">
        <v>4.61918333333333</v>
      </c>
      <c r="H8">
        <v>38.461</v>
      </c>
      <c r="I8">
        <v>43.08</v>
      </c>
      <c r="J8">
        <v>400</v>
      </c>
      <c r="K8">
        <v>0.54</v>
      </c>
      <c r="L8">
        <v>0.001536</v>
      </c>
      <c r="M8">
        <v>0.622</v>
      </c>
      <c r="N8">
        <v>1</v>
      </c>
      <c r="O8">
        <v>0</v>
      </c>
      <c r="P8">
        <v>0</v>
      </c>
      <c r="Q8" t="s">
        <v>32</v>
      </c>
      <c r="R8">
        <v>0</v>
      </c>
      <c r="S8">
        <v>285.296</v>
      </c>
      <c r="T8">
        <v>284.716</v>
      </c>
      <c r="U8">
        <v>285.512</v>
      </c>
      <c r="V8">
        <v>284.932</v>
      </c>
      <c r="W8">
        <v>4.104</v>
      </c>
      <c r="X8">
        <v>3.704</v>
      </c>
      <c r="Y8">
        <v>4.447</v>
      </c>
      <c r="Z8">
        <v>4.047</v>
      </c>
      <c r="AA8" t="s">
        <v>36</v>
      </c>
      <c r="AB8" t="s">
        <v>48</v>
      </c>
    </row>
    <row r="9" spans="1:28">
      <c r="A9" t="s">
        <v>47</v>
      </c>
      <c r="B9" t="s">
        <v>49</v>
      </c>
      <c r="C9">
        <v>384.69</v>
      </c>
      <c r="D9">
        <v>289.163</v>
      </c>
      <c r="E9">
        <v>288.983</v>
      </c>
      <c r="F9">
        <v>182497</v>
      </c>
      <c r="G9">
        <v>4.25826333333333</v>
      </c>
      <c r="H9">
        <v>43.08</v>
      </c>
      <c r="I9">
        <v>47.338</v>
      </c>
      <c r="J9">
        <v>500</v>
      </c>
      <c r="K9">
        <v>0.42</v>
      </c>
      <c r="L9">
        <v>0.001344</v>
      </c>
      <c r="M9">
        <v>0.605</v>
      </c>
      <c r="N9">
        <v>1</v>
      </c>
      <c r="O9">
        <v>0</v>
      </c>
      <c r="P9">
        <v>0</v>
      </c>
      <c r="Q9" t="s">
        <v>32</v>
      </c>
      <c r="R9">
        <v>0</v>
      </c>
      <c r="S9">
        <v>284.616</v>
      </c>
      <c r="T9">
        <v>284.099</v>
      </c>
      <c r="U9">
        <v>284.826</v>
      </c>
      <c r="V9">
        <v>284.309</v>
      </c>
      <c r="W9">
        <v>4.547</v>
      </c>
      <c r="X9">
        <v>4.047</v>
      </c>
      <c r="Y9">
        <v>4.884</v>
      </c>
      <c r="Z9">
        <v>4.384</v>
      </c>
      <c r="AA9" t="s">
        <v>41</v>
      </c>
      <c r="AB9" t="s">
        <v>50</v>
      </c>
    </row>
    <row r="10" spans="1:28">
      <c r="A10" t="s">
        <v>49</v>
      </c>
      <c r="B10" t="s">
        <v>51</v>
      </c>
      <c r="C10">
        <v>458</v>
      </c>
      <c r="D10">
        <v>288.983</v>
      </c>
      <c r="E10">
        <v>288.768</v>
      </c>
      <c r="F10">
        <v>102460</v>
      </c>
      <c r="G10">
        <v>2.39073333333333</v>
      </c>
      <c r="H10">
        <v>47.338</v>
      </c>
      <c r="I10">
        <v>49.729</v>
      </c>
      <c r="J10">
        <v>500</v>
      </c>
      <c r="K10">
        <v>0.43</v>
      </c>
      <c r="L10">
        <v>0.001363</v>
      </c>
      <c r="M10">
        <v>0.616</v>
      </c>
      <c r="N10">
        <v>1</v>
      </c>
      <c r="O10">
        <v>0</v>
      </c>
      <c r="P10">
        <v>0</v>
      </c>
      <c r="Q10">
        <v>0.003</v>
      </c>
      <c r="R10">
        <v>0</v>
      </c>
      <c r="S10">
        <v>284.094</v>
      </c>
      <c r="T10">
        <v>283.47</v>
      </c>
      <c r="U10">
        <v>284.309</v>
      </c>
      <c r="V10">
        <v>283.685</v>
      </c>
      <c r="W10">
        <v>4.889</v>
      </c>
      <c r="X10">
        <v>4.389</v>
      </c>
      <c r="Y10">
        <v>5.298</v>
      </c>
      <c r="Z10">
        <v>4.798</v>
      </c>
      <c r="AA10" t="s">
        <v>36</v>
      </c>
      <c r="AB10" t="s">
        <v>52</v>
      </c>
    </row>
    <row r="11" spans="1:28">
      <c r="A11" t="s">
        <v>53</v>
      </c>
      <c r="B11" t="s">
        <v>54</v>
      </c>
      <c r="C11">
        <v>248.61</v>
      </c>
      <c r="D11">
        <v>290.902</v>
      </c>
      <c r="E11">
        <v>290.642</v>
      </c>
      <c r="F11">
        <v>351999</v>
      </c>
      <c r="G11">
        <v>8.21331</v>
      </c>
      <c r="H11">
        <v>0</v>
      </c>
      <c r="I11">
        <v>8.213</v>
      </c>
      <c r="J11">
        <v>300</v>
      </c>
      <c r="K11">
        <v>0.24</v>
      </c>
      <c r="L11">
        <v>0.005244</v>
      </c>
      <c r="M11">
        <v>0.63</v>
      </c>
      <c r="N11">
        <v>1</v>
      </c>
      <c r="O11">
        <v>0</v>
      </c>
      <c r="P11">
        <v>0</v>
      </c>
      <c r="Q11" t="s">
        <v>32</v>
      </c>
      <c r="R11">
        <v>0</v>
      </c>
      <c r="S11">
        <v>289.102</v>
      </c>
      <c r="T11">
        <v>287.798</v>
      </c>
      <c r="U11">
        <v>289.174</v>
      </c>
      <c r="V11">
        <v>287.87</v>
      </c>
      <c r="W11">
        <v>1.8</v>
      </c>
      <c r="X11">
        <v>1.5</v>
      </c>
      <c r="Y11">
        <v>2.844</v>
      </c>
      <c r="Z11">
        <v>2.544</v>
      </c>
      <c r="AA11" t="s">
        <v>33</v>
      </c>
      <c r="AB11" t="s">
        <v>55</v>
      </c>
    </row>
    <row r="12" spans="1:28">
      <c r="A12" t="s">
        <v>54</v>
      </c>
      <c r="B12" t="s">
        <v>56</v>
      </c>
      <c r="C12">
        <v>450.3</v>
      </c>
      <c r="D12">
        <v>290.642</v>
      </c>
      <c r="E12">
        <v>290.304</v>
      </c>
      <c r="F12">
        <v>234526</v>
      </c>
      <c r="G12">
        <v>5.47227333333333</v>
      </c>
      <c r="H12">
        <v>8.213</v>
      </c>
      <c r="I12">
        <v>13.686</v>
      </c>
      <c r="J12">
        <v>300</v>
      </c>
      <c r="K12">
        <v>0.35</v>
      </c>
      <c r="L12">
        <v>0.00336</v>
      </c>
      <c r="M12">
        <v>0.621</v>
      </c>
      <c r="N12">
        <v>1</v>
      </c>
      <c r="O12">
        <v>0</v>
      </c>
      <c r="P12">
        <v>0</v>
      </c>
      <c r="Q12" t="s">
        <v>32</v>
      </c>
      <c r="R12">
        <v>0</v>
      </c>
      <c r="S12">
        <v>287.765</v>
      </c>
      <c r="T12">
        <v>286.252</v>
      </c>
      <c r="U12">
        <v>287.87</v>
      </c>
      <c r="V12">
        <v>286.357</v>
      </c>
      <c r="W12">
        <v>2.877</v>
      </c>
      <c r="X12">
        <v>2.577</v>
      </c>
      <c r="Y12">
        <v>4.052</v>
      </c>
      <c r="Z12">
        <v>3.752</v>
      </c>
      <c r="AA12" t="s">
        <v>36</v>
      </c>
      <c r="AB12" t="s">
        <v>57</v>
      </c>
    </row>
    <row r="13" spans="1:28">
      <c r="A13" t="s">
        <v>56</v>
      </c>
      <c r="B13" t="s">
        <v>58</v>
      </c>
      <c r="C13">
        <v>338.35</v>
      </c>
      <c r="D13">
        <v>290.304</v>
      </c>
      <c r="E13">
        <v>290.24</v>
      </c>
      <c r="F13">
        <v>0</v>
      </c>
      <c r="G13">
        <v>0</v>
      </c>
      <c r="H13">
        <v>13.686</v>
      </c>
      <c r="I13">
        <v>13.686</v>
      </c>
      <c r="J13">
        <v>300</v>
      </c>
      <c r="K13">
        <v>0.35</v>
      </c>
      <c r="L13">
        <v>0.00336</v>
      </c>
      <c r="M13">
        <v>0.621</v>
      </c>
      <c r="N13">
        <v>1</v>
      </c>
      <c r="O13">
        <v>0</v>
      </c>
      <c r="P13">
        <v>0</v>
      </c>
      <c r="Q13" t="s">
        <v>32</v>
      </c>
      <c r="R13">
        <v>0</v>
      </c>
      <c r="S13">
        <v>286.252</v>
      </c>
      <c r="T13">
        <v>285.115</v>
      </c>
      <c r="U13">
        <v>286.357</v>
      </c>
      <c r="V13">
        <v>285.22</v>
      </c>
      <c r="W13">
        <v>4.052</v>
      </c>
      <c r="X13">
        <v>3.752</v>
      </c>
      <c r="Y13">
        <v>5.125</v>
      </c>
      <c r="Z13">
        <v>4.825</v>
      </c>
      <c r="AA13" t="s">
        <v>36</v>
      </c>
      <c r="AB13" t="s">
        <v>59</v>
      </c>
    </row>
    <row r="14" spans="1:28">
      <c r="A14" t="s">
        <v>58</v>
      </c>
      <c r="B14" t="s">
        <v>60</v>
      </c>
      <c r="C14">
        <v>261.18</v>
      </c>
      <c r="D14">
        <v>290.24</v>
      </c>
      <c r="E14">
        <v>290.05</v>
      </c>
      <c r="F14">
        <v>117253</v>
      </c>
      <c r="G14">
        <v>2.73590333333333</v>
      </c>
      <c r="H14">
        <v>13.686</v>
      </c>
      <c r="I14">
        <v>16.421</v>
      </c>
      <c r="J14">
        <v>300</v>
      </c>
      <c r="K14">
        <v>0.39</v>
      </c>
      <c r="L14">
        <v>0.003232</v>
      </c>
      <c r="M14">
        <v>0.643</v>
      </c>
      <c r="N14">
        <v>1</v>
      </c>
      <c r="O14">
        <v>0</v>
      </c>
      <c r="P14">
        <v>0</v>
      </c>
      <c r="Q14" t="s">
        <v>32</v>
      </c>
      <c r="R14">
        <v>0</v>
      </c>
      <c r="S14">
        <v>285.103</v>
      </c>
      <c r="T14">
        <v>284.259</v>
      </c>
      <c r="U14">
        <v>285.22</v>
      </c>
      <c r="V14">
        <v>284.376</v>
      </c>
      <c r="W14">
        <v>5.137</v>
      </c>
      <c r="X14">
        <v>4.837</v>
      </c>
      <c r="Y14">
        <v>5.791</v>
      </c>
      <c r="Z14">
        <v>5.491</v>
      </c>
      <c r="AA14" t="s">
        <v>36</v>
      </c>
      <c r="AB14" t="s">
        <v>61</v>
      </c>
    </row>
    <row r="15" spans="1:28">
      <c r="A15" t="s">
        <v>60</v>
      </c>
      <c r="B15" t="s">
        <v>62</v>
      </c>
      <c r="C15">
        <v>318.97</v>
      </c>
      <c r="D15">
        <v>290.05</v>
      </c>
      <c r="E15">
        <v>289.843</v>
      </c>
      <c r="F15">
        <v>183351</v>
      </c>
      <c r="G15">
        <v>4.27819</v>
      </c>
      <c r="H15">
        <v>16.421</v>
      </c>
      <c r="I15">
        <v>20.7</v>
      </c>
      <c r="J15">
        <v>300</v>
      </c>
      <c r="K15">
        <v>0.45</v>
      </c>
      <c r="L15">
        <v>0.003063</v>
      </c>
      <c r="M15">
        <v>0.671</v>
      </c>
      <c r="N15">
        <v>1</v>
      </c>
      <c r="O15">
        <v>4.009</v>
      </c>
      <c r="P15">
        <v>0</v>
      </c>
      <c r="Q15" t="s">
        <v>32</v>
      </c>
      <c r="R15">
        <v>0</v>
      </c>
      <c r="S15">
        <v>288.25</v>
      </c>
      <c r="T15">
        <v>287.273</v>
      </c>
      <c r="U15">
        <v>288.385</v>
      </c>
      <c r="V15">
        <v>287.408</v>
      </c>
      <c r="W15">
        <v>1.8</v>
      </c>
      <c r="X15">
        <v>1.5</v>
      </c>
      <c r="Y15">
        <v>2.57</v>
      </c>
      <c r="Z15">
        <v>2.27</v>
      </c>
      <c r="AA15" t="s">
        <v>36</v>
      </c>
      <c r="AB15" t="s">
        <v>63</v>
      </c>
    </row>
    <row r="16" spans="1:28">
      <c r="A16" t="s">
        <v>62</v>
      </c>
      <c r="B16" t="s">
        <v>64</v>
      </c>
      <c r="C16">
        <v>392.72</v>
      </c>
      <c r="D16">
        <v>289.843</v>
      </c>
      <c r="E16">
        <v>289.602</v>
      </c>
      <c r="F16">
        <v>212340</v>
      </c>
      <c r="G16">
        <v>4.9546</v>
      </c>
      <c r="H16">
        <v>20.7</v>
      </c>
      <c r="I16">
        <v>25.654</v>
      </c>
      <c r="J16">
        <v>300</v>
      </c>
      <c r="K16">
        <v>0.51</v>
      </c>
      <c r="L16">
        <v>0.003054</v>
      </c>
      <c r="M16">
        <v>0.708</v>
      </c>
      <c r="N16">
        <v>1</v>
      </c>
      <c r="O16">
        <v>0</v>
      </c>
      <c r="P16">
        <v>0</v>
      </c>
      <c r="Q16" t="s">
        <v>32</v>
      </c>
      <c r="R16">
        <v>0</v>
      </c>
      <c r="S16">
        <v>287.255</v>
      </c>
      <c r="T16">
        <v>286.056</v>
      </c>
      <c r="U16">
        <v>287.408</v>
      </c>
      <c r="V16">
        <v>286.209</v>
      </c>
      <c r="W16">
        <v>2.588</v>
      </c>
      <c r="X16">
        <v>2.288</v>
      </c>
      <c r="Y16">
        <v>3.546</v>
      </c>
      <c r="Z16">
        <v>3.246</v>
      </c>
      <c r="AA16" t="s">
        <v>36</v>
      </c>
      <c r="AB16" t="s">
        <v>65</v>
      </c>
    </row>
    <row r="17" spans="1:28">
      <c r="A17" t="s">
        <v>64</v>
      </c>
      <c r="B17" t="s">
        <v>66</v>
      </c>
      <c r="C17">
        <v>402.81</v>
      </c>
      <c r="D17">
        <v>289.602</v>
      </c>
      <c r="E17">
        <v>289.358</v>
      </c>
      <c r="F17">
        <v>189663</v>
      </c>
      <c r="G17">
        <v>4.42547</v>
      </c>
      <c r="H17">
        <v>25.654</v>
      </c>
      <c r="I17">
        <v>30.08</v>
      </c>
      <c r="J17">
        <v>400</v>
      </c>
      <c r="K17">
        <v>0.42</v>
      </c>
      <c r="L17">
        <v>0.001784</v>
      </c>
      <c r="M17">
        <v>0.601</v>
      </c>
      <c r="N17">
        <v>1</v>
      </c>
      <c r="O17">
        <v>0</v>
      </c>
      <c r="P17">
        <v>0</v>
      </c>
      <c r="Q17" t="s">
        <v>32</v>
      </c>
      <c r="R17">
        <v>0</v>
      </c>
      <c r="S17">
        <v>285.956</v>
      </c>
      <c r="T17">
        <v>285.237</v>
      </c>
      <c r="U17">
        <v>286.124</v>
      </c>
      <c r="V17">
        <v>285.405</v>
      </c>
      <c r="W17">
        <v>3.646</v>
      </c>
      <c r="X17">
        <v>3.246</v>
      </c>
      <c r="Y17">
        <v>4.121</v>
      </c>
      <c r="Z17">
        <v>3.721</v>
      </c>
      <c r="AA17" t="s">
        <v>41</v>
      </c>
      <c r="AB17" t="s">
        <v>67</v>
      </c>
    </row>
    <row r="18" spans="1:28">
      <c r="A18" t="s">
        <v>66</v>
      </c>
      <c r="B18" t="s">
        <v>68</v>
      </c>
      <c r="C18">
        <v>274.37</v>
      </c>
      <c r="D18">
        <v>289.358</v>
      </c>
      <c r="E18">
        <v>289.264</v>
      </c>
      <c r="F18">
        <v>138566</v>
      </c>
      <c r="G18">
        <v>3.23320666666667</v>
      </c>
      <c r="H18">
        <v>30.08</v>
      </c>
      <c r="I18">
        <v>33.313</v>
      </c>
      <c r="J18">
        <v>400</v>
      </c>
      <c r="K18">
        <v>0.45</v>
      </c>
      <c r="L18">
        <v>0.00171</v>
      </c>
      <c r="M18">
        <v>0.607</v>
      </c>
      <c r="N18">
        <v>1</v>
      </c>
      <c r="O18">
        <v>0</v>
      </c>
      <c r="P18">
        <v>0</v>
      </c>
      <c r="Q18" t="s">
        <v>32</v>
      </c>
      <c r="R18">
        <v>0</v>
      </c>
      <c r="S18">
        <v>285.225</v>
      </c>
      <c r="T18">
        <v>284.756</v>
      </c>
      <c r="U18">
        <v>285.405</v>
      </c>
      <c r="V18">
        <v>284.936</v>
      </c>
      <c r="W18">
        <v>4.133</v>
      </c>
      <c r="X18">
        <v>3.733</v>
      </c>
      <c r="Y18">
        <v>4.508</v>
      </c>
      <c r="Z18">
        <v>4.108</v>
      </c>
      <c r="AA18" t="s">
        <v>36</v>
      </c>
      <c r="AB18" t="s">
        <v>69</v>
      </c>
    </row>
    <row r="19" spans="1:28">
      <c r="A19" t="s">
        <v>68</v>
      </c>
      <c r="B19" t="s">
        <v>70</v>
      </c>
      <c r="C19">
        <v>314.96</v>
      </c>
      <c r="D19">
        <v>289.264</v>
      </c>
      <c r="E19">
        <v>289.073</v>
      </c>
      <c r="F19">
        <v>178323</v>
      </c>
      <c r="G19">
        <v>4.16087</v>
      </c>
      <c r="H19">
        <v>33.313</v>
      </c>
      <c r="I19">
        <v>37.474</v>
      </c>
      <c r="J19">
        <v>400</v>
      </c>
      <c r="K19">
        <v>0.49</v>
      </c>
      <c r="L19">
        <v>0.001609</v>
      </c>
      <c r="M19">
        <v>0.612</v>
      </c>
      <c r="N19">
        <v>1</v>
      </c>
      <c r="O19">
        <v>0</v>
      </c>
      <c r="P19">
        <v>0</v>
      </c>
      <c r="Q19" t="s">
        <v>32</v>
      </c>
      <c r="R19">
        <v>0</v>
      </c>
      <c r="S19">
        <v>284.74</v>
      </c>
      <c r="T19">
        <v>284.233</v>
      </c>
      <c r="U19">
        <v>284.936</v>
      </c>
      <c r="V19">
        <v>284.429</v>
      </c>
      <c r="W19">
        <v>4.524</v>
      </c>
      <c r="X19">
        <v>4.124</v>
      </c>
      <c r="Y19">
        <v>4.84</v>
      </c>
      <c r="Z19">
        <v>4.44</v>
      </c>
      <c r="AA19" t="s">
        <v>36</v>
      </c>
      <c r="AB19" t="s">
        <v>71</v>
      </c>
    </row>
    <row r="20" spans="1:28">
      <c r="A20" t="s">
        <v>70</v>
      </c>
      <c r="B20" t="s">
        <v>51</v>
      </c>
      <c r="C20">
        <v>408.24</v>
      </c>
      <c r="D20">
        <v>289.073</v>
      </c>
      <c r="E20">
        <v>288.768</v>
      </c>
      <c r="F20">
        <v>106398</v>
      </c>
      <c r="G20">
        <v>2.48262</v>
      </c>
      <c r="H20">
        <v>37.474</v>
      </c>
      <c r="I20">
        <v>39.956</v>
      </c>
      <c r="J20">
        <v>400</v>
      </c>
      <c r="K20">
        <v>0.51</v>
      </c>
      <c r="L20">
        <v>0.001597</v>
      </c>
      <c r="M20">
        <v>0.62</v>
      </c>
      <c r="N20">
        <v>1</v>
      </c>
      <c r="O20">
        <v>0</v>
      </c>
      <c r="P20">
        <v>0</v>
      </c>
      <c r="Q20">
        <v>0.095</v>
      </c>
      <c r="R20">
        <v>0</v>
      </c>
      <c r="S20">
        <v>284.225</v>
      </c>
      <c r="T20">
        <v>283.573</v>
      </c>
      <c r="U20">
        <v>284.429</v>
      </c>
      <c r="V20">
        <v>283.777</v>
      </c>
      <c r="W20">
        <v>4.848</v>
      </c>
      <c r="X20">
        <v>4.448</v>
      </c>
      <c r="Y20">
        <v>5.195</v>
      </c>
      <c r="Z20">
        <v>4.795</v>
      </c>
      <c r="AA20" t="s">
        <v>36</v>
      </c>
      <c r="AB20" t="s">
        <v>72</v>
      </c>
    </row>
    <row r="21" spans="1:28">
      <c r="A21" t="s">
        <v>73</v>
      </c>
      <c r="B21" t="s">
        <v>74</v>
      </c>
      <c r="C21">
        <v>385.99</v>
      </c>
      <c r="D21">
        <v>290.655</v>
      </c>
      <c r="E21">
        <v>290.394</v>
      </c>
      <c r="F21">
        <v>612497</v>
      </c>
      <c r="G21">
        <v>14.2915966666667</v>
      </c>
      <c r="H21">
        <v>0</v>
      </c>
      <c r="I21">
        <v>14.292</v>
      </c>
      <c r="J21">
        <v>300</v>
      </c>
      <c r="K21">
        <v>0.36</v>
      </c>
      <c r="L21">
        <v>0.003296</v>
      </c>
      <c r="M21">
        <v>0.624</v>
      </c>
      <c r="N21">
        <v>1</v>
      </c>
      <c r="O21">
        <v>0</v>
      </c>
      <c r="P21">
        <v>0</v>
      </c>
      <c r="Q21" t="s">
        <v>32</v>
      </c>
      <c r="R21">
        <v>0</v>
      </c>
      <c r="S21">
        <v>288.855</v>
      </c>
      <c r="T21">
        <v>287.583</v>
      </c>
      <c r="U21">
        <v>288.963</v>
      </c>
      <c r="V21">
        <v>287.691</v>
      </c>
      <c r="W21">
        <v>1.8</v>
      </c>
      <c r="X21">
        <v>1.5</v>
      </c>
      <c r="Y21">
        <v>2.811</v>
      </c>
      <c r="Z21">
        <v>2.511</v>
      </c>
      <c r="AA21" t="s">
        <v>33</v>
      </c>
      <c r="AB21" t="s">
        <v>75</v>
      </c>
    </row>
    <row r="22" spans="1:28">
      <c r="A22" t="s">
        <v>74</v>
      </c>
      <c r="B22" t="s">
        <v>76</v>
      </c>
      <c r="C22">
        <v>422.52</v>
      </c>
      <c r="D22">
        <v>290.394</v>
      </c>
      <c r="E22">
        <v>290.112</v>
      </c>
      <c r="F22">
        <v>348122</v>
      </c>
      <c r="G22">
        <v>8.12284666666667</v>
      </c>
      <c r="H22">
        <v>14.292</v>
      </c>
      <c r="I22">
        <v>22.414</v>
      </c>
      <c r="J22">
        <v>300</v>
      </c>
      <c r="K22">
        <v>0.47</v>
      </c>
      <c r="L22">
        <v>0.003083</v>
      </c>
      <c r="M22">
        <v>0.687</v>
      </c>
      <c r="N22">
        <v>1</v>
      </c>
      <c r="O22">
        <v>0</v>
      </c>
      <c r="P22">
        <v>0</v>
      </c>
      <c r="Q22" t="s">
        <v>32</v>
      </c>
      <c r="R22">
        <v>0</v>
      </c>
      <c r="S22">
        <v>287.55</v>
      </c>
      <c r="T22">
        <v>286.247</v>
      </c>
      <c r="U22">
        <v>287.691</v>
      </c>
      <c r="V22">
        <v>286.388</v>
      </c>
      <c r="W22">
        <v>2.844</v>
      </c>
      <c r="X22">
        <v>2.544</v>
      </c>
      <c r="Y22">
        <v>3.865</v>
      </c>
      <c r="Z22">
        <v>3.565</v>
      </c>
      <c r="AA22" t="s">
        <v>36</v>
      </c>
      <c r="AB22" t="s">
        <v>77</v>
      </c>
    </row>
    <row r="23" spans="1:28">
      <c r="A23" t="s">
        <v>76</v>
      </c>
      <c r="B23" t="s">
        <v>78</v>
      </c>
      <c r="C23">
        <v>401.52</v>
      </c>
      <c r="D23">
        <v>290.112</v>
      </c>
      <c r="E23">
        <v>289.858</v>
      </c>
      <c r="F23">
        <v>242047</v>
      </c>
      <c r="G23">
        <v>5.64776333333333</v>
      </c>
      <c r="H23">
        <v>22.414</v>
      </c>
      <c r="I23">
        <v>28.062</v>
      </c>
      <c r="J23">
        <v>300</v>
      </c>
      <c r="K23">
        <v>0.54</v>
      </c>
      <c r="L23">
        <v>0.003022</v>
      </c>
      <c r="M23">
        <v>0.721</v>
      </c>
      <c r="N23">
        <v>1</v>
      </c>
      <c r="O23">
        <v>0</v>
      </c>
      <c r="P23">
        <v>0</v>
      </c>
      <c r="Q23" t="s">
        <v>32</v>
      </c>
      <c r="R23">
        <v>0</v>
      </c>
      <c r="S23">
        <v>286.226</v>
      </c>
      <c r="T23">
        <v>285.013</v>
      </c>
      <c r="U23">
        <v>286.388</v>
      </c>
      <c r="V23">
        <v>285.175</v>
      </c>
      <c r="W23">
        <v>3.886</v>
      </c>
      <c r="X23">
        <v>3.586</v>
      </c>
      <c r="Y23">
        <v>4.845</v>
      </c>
      <c r="Z23">
        <v>4.545</v>
      </c>
      <c r="AA23" t="s">
        <v>36</v>
      </c>
      <c r="AB23" t="s">
        <v>79</v>
      </c>
    </row>
    <row r="24" spans="1:28">
      <c r="A24" t="s">
        <v>78</v>
      </c>
      <c r="B24" t="s">
        <v>80</v>
      </c>
      <c r="C24">
        <v>368.86</v>
      </c>
      <c r="D24">
        <v>289.858</v>
      </c>
      <c r="E24">
        <v>289.65</v>
      </c>
      <c r="F24">
        <v>163062</v>
      </c>
      <c r="G24">
        <v>3.80478</v>
      </c>
      <c r="H24">
        <v>28.062</v>
      </c>
      <c r="I24">
        <v>31.867</v>
      </c>
      <c r="J24">
        <v>400</v>
      </c>
      <c r="K24">
        <v>0.43</v>
      </c>
      <c r="L24">
        <v>0.00184</v>
      </c>
      <c r="M24">
        <v>0.617</v>
      </c>
      <c r="N24">
        <v>1</v>
      </c>
      <c r="O24">
        <v>0</v>
      </c>
      <c r="P24">
        <v>0</v>
      </c>
      <c r="Q24" t="s">
        <v>32</v>
      </c>
      <c r="R24">
        <v>0</v>
      </c>
      <c r="S24">
        <v>284.913</v>
      </c>
      <c r="T24">
        <v>284.234</v>
      </c>
      <c r="U24">
        <v>285.085</v>
      </c>
      <c r="V24">
        <v>284.406</v>
      </c>
      <c r="W24">
        <v>4.945</v>
      </c>
      <c r="X24">
        <v>4.545</v>
      </c>
      <c r="Y24">
        <v>5.416</v>
      </c>
      <c r="Z24">
        <v>5.016</v>
      </c>
      <c r="AA24" t="s">
        <v>41</v>
      </c>
      <c r="AB24" t="s">
        <v>81</v>
      </c>
    </row>
    <row r="25" spans="1:28">
      <c r="A25" t="s">
        <v>80</v>
      </c>
      <c r="B25" t="s">
        <v>82</v>
      </c>
      <c r="C25">
        <v>442.15</v>
      </c>
      <c r="D25">
        <v>289.65</v>
      </c>
      <c r="E25">
        <v>289.403</v>
      </c>
      <c r="F25">
        <v>133466</v>
      </c>
      <c r="G25">
        <v>3.11420666666667</v>
      </c>
      <c r="H25">
        <v>31.867</v>
      </c>
      <c r="I25">
        <v>34.981</v>
      </c>
      <c r="J25">
        <v>400</v>
      </c>
      <c r="K25">
        <v>0.47</v>
      </c>
      <c r="L25">
        <v>0.001619</v>
      </c>
      <c r="M25">
        <v>0.603</v>
      </c>
      <c r="N25">
        <v>1</v>
      </c>
      <c r="O25">
        <v>0</v>
      </c>
      <c r="P25">
        <v>0</v>
      </c>
      <c r="Q25" t="s">
        <v>32</v>
      </c>
      <c r="R25">
        <v>0</v>
      </c>
      <c r="S25">
        <v>284.218</v>
      </c>
      <c r="T25">
        <v>283.502</v>
      </c>
      <c r="U25">
        <v>284.406</v>
      </c>
      <c r="V25">
        <v>283.69</v>
      </c>
      <c r="W25">
        <v>5.432</v>
      </c>
      <c r="X25">
        <v>5.032</v>
      </c>
      <c r="Y25">
        <v>5.901</v>
      </c>
      <c r="Z25">
        <v>5.501</v>
      </c>
      <c r="AA25" t="s">
        <v>36</v>
      </c>
      <c r="AB25" t="s">
        <v>83</v>
      </c>
    </row>
    <row r="26" spans="1:28">
      <c r="A26" t="s">
        <v>82</v>
      </c>
      <c r="B26" t="s">
        <v>84</v>
      </c>
      <c r="C26">
        <v>358.89</v>
      </c>
      <c r="D26">
        <v>289.403</v>
      </c>
      <c r="E26">
        <v>289.198</v>
      </c>
      <c r="F26">
        <v>61121</v>
      </c>
      <c r="G26">
        <v>1.42615666666667</v>
      </c>
      <c r="H26">
        <v>34.981</v>
      </c>
      <c r="I26">
        <v>36.407</v>
      </c>
      <c r="J26">
        <v>400</v>
      </c>
      <c r="K26">
        <v>0.48</v>
      </c>
      <c r="L26">
        <v>0.00163</v>
      </c>
      <c r="M26">
        <v>0.611</v>
      </c>
      <c r="N26">
        <v>1</v>
      </c>
      <c r="O26">
        <v>2.005</v>
      </c>
      <c r="P26">
        <v>0</v>
      </c>
      <c r="Q26" t="s">
        <v>32</v>
      </c>
      <c r="R26">
        <v>0</v>
      </c>
      <c r="S26">
        <v>285.503</v>
      </c>
      <c r="T26">
        <v>284.918</v>
      </c>
      <c r="U26">
        <v>285.695</v>
      </c>
      <c r="V26">
        <v>285.11</v>
      </c>
      <c r="W26">
        <v>3.9</v>
      </c>
      <c r="X26">
        <v>3.5</v>
      </c>
      <c r="Y26">
        <v>4.28</v>
      </c>
      <c r="Z26">
        <v>3.88</v>
      </c>
      <c r="AA26" t="s">
        <v>36</v>
      </c>
      <c r="AB26" t="s">
        <v>85</v>
      </c>
    </row>
    <row r="27" spans="1:28">
      <c r="A27" t="s">
        <v>84</v>
      </c>
      <c r="B27" t="s">
        <v>86</v>
      </c>
      <c r="C27">
        <v>319.83</v>
      </c>
      <c r="D27">
        <v>289.198</v>
      </c>
      <c r="E27">
        <v>289.013</v>
      </c>
      <c r="F27">
        <v>66639</v>
      </c>
      <c r="G27">
        <v>1.55491</v>
      </c>
      <c r="H27">
        <v>36.407</v>
      </c>
      <c r="I27">
        <v>37.962</v>
      </c>
      <c r="J27">
        <v>400</v>
      </c>
      <c r="K27">
        <v>0.5</v>
      </c>
      <c r="L27">
        <v>0.001541</v>
      </c>
      <c r="M27">
        <v>0.604</v>
      </c>
      <c r="N27">
        <v>1</v>
      </c>
      <c r="O27">
        <v>0</v>
      </c>
      <c r="P27">
        <v>0</v>
      </c>
      <c r="Q27" t="s">
        <v>32</v>
      </c>
      <c r="R27">
        <v>0</v>
      </c>
      <c r="S27">
        <v>284.91</v>
      </c>
      <c r="T27">
        <v>284.417</v>
      </c>
      <c r="U27">
        <v>285.11</v>
      </c>
      <c r="V27">
        <v>284.617</v>
      </c>
      <c r="W27">
        <v>4.288</v>
      </c>
      <c r="X27">
        <v>3.888</v>
      </c>
      <c r="Y27">
        <v>4.596</v>
      </c>
      <c r="Z27">
        <v>4.196</v>
      </c>
      <c r="AA27" t="s">
        <v>36</v>
      </c>
      <c r="AB27" t="s">
        <v>87</v>
      </c>
    </row>
    <row r="28" spans="1:28">
      <c r="A28" t="s">
        <v>86</v>
      </c>
      <c r="B28" t="s">
        <v>88</v>
      </c>
      <c r="C28">
        <v>395.87</v>
      </c>
      <c r="D28">
        <v>289.013</v>
      </c>
      <c r="E28">
        <v>288.703</v>
      </c>
      <c r="F28">
        <v>70705</v>
      </c>
      <c r="G28">
        <v>1.64978333333333</v>
      </c>
      <c r="H28">
        <v>37.962</v>
      </c>
      <c r="I28">
        <v>39.612</v>
      </c>
      <c r="J28">
        <v>400</v>
      </c>
      <c r="K28">
        <v>0.51</v>
      </c>
      <c r="L28">
        <v>0.00157</v>
      </c>
      <c r="M28">
        <v>0.615</v>
      </c>
      <c r="N28">
        <v>1</v>
      </c>
      <c r="O28">
        <v>0</v>
      </c>
      <c r="P28">
        <v>0</v>
      </c>
      <c r="Q28" t="s">
        <v>32</v>
      </c>
      <c r="R28">
        <v>0</v>
      </c>
      <c r="S28">
        <v>284.413</v>
      </c>
      <c r="T28">
        <v>283.791</v>
      </c>
      <c r="U28">
        <v>284.617</v>
      </c>
      <c r="V28">
        <v>283.995</v>
      </c>
      <c r="W28">
        <v>4.6</v>
      </c>
      <c r="X28">
        <v>4.2</v>
      </c>
      <c r="Y28">
        <v>4.912</v>
      </c>
      <c r="Z28">
        <v>4.512</v>
      </c>
      <c r="AA28" t="s">
        <v>36</v>
      </c>
      <c r="AB28" t="s">
        <v>89</v>
      </c>
    </row>
    <row r="29" spans="1:28">
      <c r="A29" t="s">
        <v>88</v>
      </c>
      <c r="B29" t="s">
        <v>90</v>
      </c>
      <c r="C29">
        <v>504.11</v>
      </c>
      <c r="D29">
        <v>288.703</v>
      </c>
      <c r="E29">
        <v>288.297</v>
      </c>
      <c r="F29">
        <v>111219</v>
      </c>
      <c r="G29">
        <v>2.59511</v>
      </c>
      <c r="H29">
        <v>39.612</v>
      </c>
      <c r="I29">
        <v>42.207</v>
      </c>
      <c r="J29">
        <v>400</v>
      </c>
      <c r="K29">
        <v>0.53</v>
      </c>
      <c r="L29">
        <v>0.001568</v>
      </c>
      <c r="M29">
        <v>0.624</v>
      </c>
      <c r="N29">
        <v>1</v>
      </c>
      <c r="O29">
        <v>0</v>
      </c>
      <c r="P29">
        <v>0</v>
      </c>
      <c r="Q29" t="s">
        <v>32</v>
      </c>
      <c r="R29">
        <v>0</v>
      </c>
      <c r="S29">
        <v>283.783</v>
      </c>
      <c r="T29">
        <v>282.993</v>
      </c>
      <c r="U29">
        <v>283.995</v>
      </c>
      <c r="V29">
        <v>283.205</v>
      </c>
      <c r="W29">
        <v>4.92</v>
      </c>
      <c r="X29">
        <v>4.52</v>
      </c>
      <c r="Y29">
        <v>5.304</v>
      </c>
      <c r="Z29">
        <v>4.904</v>
      </c>
      <c r="AA29" t="s">
        <v>36</v>
      </c>
      <c r="AB29" t="s">
        <v>91</v>
      </c>
    </row>
    <row r="30" spans="1:28">
      <c r="A30" t="s">
        <v>90</v>
      </c>
      <c r="B30" t="s">
        <v>92</v>
      </c>
      <c r="C30">
        <v>537.15</v>
      </c>
      <c r="D30">
        <v>288.297</v>
      </c>
      <c r="E30">
        <v>287.815</v>
      </c>
      <c r="F30">
        <v>119161</v>
      </c>
      <c r="G30">
        <v>2.78042333333333</v>
      </c>
      <c r="H30">
        <v>42.207</v>
      </c>
      <c r="I30">
        <v>44.988</v>
      </c>
      <c r="J30">
        <v>500</v>
      </c>
      <c r="K30">
        <v>0.4</v>
      </c>
      <c r="L30">
        <v>0.00145</v>
      </c>
      <c r="M30">
        <v>0.613</v>
      </c>
      <c r="N30">
        <v>1</v>
      </c>
      <c r="O30">
        <v>0</v>
      </c>
      <c r="P30">
        <v>0</v>
      </c>
      <c r="Q30">
        <v>0.384</v>
      </c>
      <c r="R30">
        <v>0</v>
      </c>
      <c r="S30">
        <v>282.893</v>
      </c>
      <c r="T30">
        <v>282.114</v>
      </c>
      <c r="U30">
        <v>283.093</v>
      </c>
      <c r="V30">
        <v>282.314</v>
      </c>
      <c r="W30">
        <v>5.404</v>
      </c>
      <c r="X30">
        <v>4.904</v>
      </c>
      <c r="Y30">
        <v>5.701</v>
      </c>
      <c r="Z30">
        <v>5.201</v>
      </c>
      <c r="AA30" t="s">
        <v>41</v>
      </c>
      <c r="AB30" t="s">
        <v>93</v>
      </c>
    </row>
    <row r="31" spans="1:28">
      <c r="A31" t="s">
        <v>51</v>
      </c>
      <c r="B31" t="s">
        <v>94</v>
      </c>
      <c r="C31">
        <v>421.52</v>
      </c>
      <c r="D31">
        <v>288.983</v>
      </c>
      <c r="E31">
        <v>288.435</v>
      </c>
      <c r="F31">
        <v>326821</v>
      </c>
      <c r="G31">
        <v>7.62582333333333</v>
      </c>
      <c r="H31">
        <v>89.685</v>
      </c>
      <c r="I31">
        <v>97.311</v>
      </c>
      <c r="J31">
        <v>600</v>
      </c>
      <c r="K31">
        <v>0.52</v>
      </c>
      <c r="L31">
        <v>0.001021</v>
      </c>
      <c r="M31">
        <v>0.655</v>
      </c>
      <c r="N31">
        <v>1</v>
      </c>
      <c r="O31">
        <v>0</v>
      </c>
      <c r="P31">
        <v>0</v>
      </c>
      <c r="Q31" t="s">
        <v>32</v>
      </c>
      <c r="R31">
        <v>0</v>
      </c>
      <c r="S31">
        <v>283.37</v>
      </c>
      <c r="T31">
        <v>282.94</v>
      </c>
      <c r="U31">
        <v>283.682</v>
      </c>
      <c r="V31">
        <v>283.252</v>
      </c>
      <c r="W31">
        <v>5.613</v>
      </c>
      <c r="X31">
        <v>5.013</v>
      </c>
      <c r="Y31">
        <v>5.495</v>
      </c>
      <c r="Z31">
        <v>4.895</v>
      </c>
      <c r="AA31" t="s">
        <v>41</v>
      </c>
      <c r="AB31" t="s">
        <v>95</v>
      </c>
    </row>
    <row r="32" spans="1:28">
      <c r="A32" t="s">
        <v>94</v>
      </c>
      <c r="B32" t="s">
        <v>96</v>
      </c>
      <c r="C32">
        <v>623.37</v>
      </c>
      <c r="D32">
        <v>288.435</v>
      </c>
      <c r="E32">
        <v>287.954</v>
      </c>
      <c r="F32">
        <v>287243</v>
      </c>
      <c r="G32">
        <v>6.70233666666667</v>
      </c>
      <c r="H32">
        <v>97.311</v>
      </c>
      <c r="I32">
        <v>104.014</v>
      </c>
      <c r="J32">
        <v>600</v>
      </c>
      <c r="K32">
        <v>0.54</v>
      </c>
      <c r="L32">
        <v>0.00103</v>
      </c>
      <c r="M32">
        <v>0.668</v>
      </c>
      <c r="N32">
        <v>1</v>
      </c>
      <c r="O32">
        <v>0</v>
      </c>
      <c r="P32">
        <v>0</v>
      </c>
      <c r="Q32" t="s">
        <v>32</v>
      </c>
      <c r="R32">
        <v>0</v>
      </c>
      <c r="S32">
        <v>282.928</v>
      </c>
      <c r="T32">
        <v>282.286</v>
      </c>
      <c r="U32">
        <v>283.252</v>
      </c>
      <c r="V32">
        <v>282.61</v>
      </c>
      <c r="W32">
        <v>5.507</v>
      </c>
      <c r="X32">
        <v>4.907</v>
      </c>
      <c r="Y32">
        <v>5.668</v>
      </c>
      <c r="Z32">
        <v>5.068</v>
      </c>
      <c r="AA32" t="s">
        <v>36</v>
      </c>
      <c r="AB32" t="s">
        <v>97</v>
      </c>
    </row>
    <row r="33" spans="1:28">
      <c r="A33" t="s">
        <v>96</v>
      </c>
      <c r="B33" t="s">
        <v>92</v>
      </c>
      <c r="C33">
        <v>501.22</v>
      </c>
      <c r="D33">
        <v>287.954</v>
      </c>
      <c r="E33">
        <v>287.815</v>
      </c>
      <c r="F33">
        <v>0</v>
      </c>
      <c r="G33">
        <v>0</v>
      </c>
      <c r="H33">
        <v>104.014</v>
      </c>
      <c r="I33">
        <v>104.014</v>
      </c>
      <c r="J33">
        <v>600</v>
      </c>
      <c r="K33">
        <v>0.54</v>
      </c>
      <c r="L33">
        <v>0.00103</v>
      </c>
      <c r="M33">
        <v>0.668</v>
      </c>
      <c r="N33">
        <v>1</v>
      </c>
      <c r="O33">
        <v>0</v>
      </c>
      <c r="P33">
        <v>0</v>
      </c>
      <c r="Q33">
        <v>0.164</v>
      </c>
      <c r="R33">
        <v>0</v>
      </c>
      <c r="S33">
        <v>282.286</v>
      </c>
      <c r="T33">
        <v>281.77</v>
      </c>
      <c r="U33">
        <v>282.61</v>
      </c>
      <c r="V33">
        <v>282.094</v>
      </c>
      <c r="W33">
        <v>5.668</v>
      </c>
      <c r="X33">
        <v>5.068</v>
      </c>
      <c r="Y33">
        <v>6.045</v>
      </c>
      <c r="Z33">
        <v>5.445</v>
      </c>
      <c r="AA33" t="s">
        <v>36</v>
      </c>
      <c r="AB33" t="s">
        <v>98</v>
      </c>
    </row>
    <row r="34" spans="1:28">
      <c r="A34" t="s">
        <v>92</v>
      </c>
      <c r="B34" t="s">
        <v>99</v>
      </c>
      <c r="C34">
        <v>561.58</v>
      </c>
      <c r="D34">
        <v>287.815</v>
      </c>
      <c r="E34">
        <v>287.74</v>
      </c>
      <c r="F34">
        <v>0</v>
      </c>
      <c r="G34">
        <v>0</v>
      </c>
      <c r="H34">
        <v>149.001</v>
      </c>
      <c r="I34">
        <v>149.001</v>
      </c>
      <c r="J34">
        <v>800</v>
      </c>
      <c r="K34">
        <v>0.45</v>
      </c>
      <c r="L34">
        <v>0.000849</v>
      </c>
      <c r="M34">
        <v>0.679</v>
      </c>
      <c r="N34">
        <v>1</v>
      </c>
      <c r="O34">
        <v>0</v>
      </c>
      <c r="P34">
        <v>0</v>
      </c>
      <c r="Q34" t="s">
        <v>32</v>
      </c>
      <c r="R34">
        <v>0</v>
      </c>
      <c r="S34">
        <v>281.57</v>
      </c>
      <c r="T34">
        <v>281.093</v>
      </c>
      <c r="U34">
        <v>281.93</v>
      </c>
      <c r="V34">
        <v>281.453</v>
      </c>
      <c r="W34">
        <v>6.245</v>
      </c>
      <c r="X34">
        <v>5.445</v>
      </c>
      <c r="Y34">
        <v>6.647</v>
      </c>
      <c r="Z34">
        <v>5.847</v>
      </c>
      <c r="AA34" t="s">
        <v>41</v>
      </c>
      <c r="AB34" t="s">
        <v>100</v>
      </c>
    </row>
    <row r="35" spans="1:28">
      <c r="A35" t="s">
        <v>101</v>
      </c>
      <c r="B35" t="s">
        <v>102</v>
      </c>
      <c r="C35">
        <v>391.76</v>
      </c>
      <c r="D35">
        <v>290.437</v>
      </c>
      <c r="E35">
        <v>290.169</v>
      </c>
      <c r="F35">
        <v>809970</v>
      </c>
      <c r="G35">
        <v>18.8993</v>
      </c>
      <c r="H35">
        <v>0</v>
      </c>
      <c r="I35">
        <v>18.899</v>
      </c>
      <c r="J35">
        <v>300</v>
      </c>
      <c r="K35">
        <v>0.43</v>
      </c>
      <c r="L35">
        <v>0.003002</v>
      </c>
      <c r="M35">
        <v>0.65</v>
      </c>
      <c r="N35">
        <v>1</v>
      </c>
      <c r="O35">
        <v>0</v>
      </c>
      <c r="P35">
        <v>0</v>
      </c>
      <c r="Q35" t="s">
        <v>32</v>
      </c>
      <c r="R35">
        <v>0</v>
      </c>
      <c r="S35">
        <v>288.637</v>
      </c>
      <c r="T35">
        <v>287.461</v>
      </c>
      <c r="U35">
        <v>288.766</v>
      </c>
      <c r="V35">
        <v>287.59</v>
      </c>
      <c r="W35">
        <v>1.8</v>
      </c>
      <c r="X35">
        <v>1.5</v>
      </c>
      <c r="Y35">
        <v>2.708</v>
      </c>
      <c r="Z35">
        <v>2.408</v>
      </c>
      <c r="AA35" t="s">
        <v>33</v>
      </c>
      <c r="AB35" t="s">
        <v>103</v>
      </c>
    </row>
    <row r="36" spans="1:28">
      <c r="A36" t="s">
        <v>102</v>
      </c>
      <c r="B36" t="s">
        <v>104</v>
      </c>
      <c r="C36">
        <v>182.2</v>
      </c>
      <c r="D36">
        <v>290.169</v>
      </c>
      <c r="E36">
        <v>290.048</v>
      </c>
      <c r="F36">
        <v>133783</v>
      </c>
      <c r="G36">
        <v>3.12160333333333</v>
      </c>
      <c r="H36">
        <v>18.899</v>
      </c>
      <c r="I36">
        <v>22.021</v>
      </c>
      <c r="J36">
        <v>300</v>
      </c>
      <c r="K36">
        <v>0.46</v>
      </c>
      <c r="L36">
        <v>0.003208</v>
      </c>
      <c r="M36">
        <v>0.694</v>
      </c>
      <c r="N36">
        <v>1</v>
      </c>
      <c r="O36">
        <v>0</v>
      </c>
      <c r="P36">
        <v>0</v>
      </c>
      <c r="Q36" t="s">
        <v>32</v>
      </c>
      <c r="R36">
        <v>0</v>
      </c>
      <c r="S36">
        <v>287.452</v>
      </c>
      <c r="T36">
        <v>286.868</v>
      </c>
      <c r="U36">
        <v>287.59</v>
      </c>
      <c r="V36">
        <v>287.006</v>
      </c>
      <c r="W36">
        <v>2.717</v>
      </c>
      <c r="X36">
        <v>2.417</v>
      </c>
      <c r="Y36">
        <v>3.18</v>
      </c>
      <c r="Z36">
        <v>2.88</v>
      </c>
      <c r="AA36" t="s">
        <v>36</v>
      </c>
      <c r="AB36" t="s">
        <v>105</v>
      </c>
    </row>
    <row r="37" spans="1:28">
      <c r="A37" t="s">
        <v>104</v>
      </c>
      <c r="B37" t="s">
        <v>106</v>
      </c>
      <c r="C37">
        <v>394.53</v>
      </c>
      <c r="D37">
        <v>290.048</v>
      </c>
      <c r="E37">
        <v>289.81</v>
      </c>
      <c r="F37">
        <v>501061</v>
      </c>
      <c r="G37">
        <v>11.6914233333333</v>
      </c>
      <c r="H37">
        <v>22.021</v>
      </c>
      <c r="I37">
        <v>33.712</v>
      </c>
      <c r="J37">
        <v>400</v>
      </c>
      <c r="K37">
        <v>0.45</v>
      </c>
      <c r="L37">
        <v>0.001752</v>
      </c>
      <c r="M37">
        <v>0.615</v>
      </c>
      <c r="N37">
        <v>1</v>
      </c>
      <c r="O37">
        <v>0</v>
      </c>
      <c r="P37">
        <v>0</v>
      </c>
      <c r="Q37" t="s">
        <v>32</v>
      </c>
      <c r="R37">
        <v>0</v>
      </c>
      <c r="S37">
        <v>286.768</v>
      </c>
      <c r="T37">
        <v>286.077</v>
      </c>
      <c r="U37">
        <v>286.948</v>
      </c>
      <c r="V37">
        <v>286.257</v>
      </c>
      <c r="W37">
        <v>3.28</v>
      </c>
      <c r="X37">
        <v>2.88</v>
      </c>
      <c r="Y37">
        <v>3.733</v>
      </c>
      <c r="Z37">
        <v>3.333</v>
      </c>
      <c r="AA37" t="s">
        <v>41</v>
      </c>
      <c r="AB37" t="s">
        <v>107</v>
      </c>
    </row>
    <row r="38" spans="1:28">
      <c r="A38" t="s">
        <v>106</v>
      </c>
      <c r="B38" t="s">
        <v>108</v>
      </c>
      <c r="C38">
        <v>515.06</v>
      </c>
      <c r="D38">
        <v>289.81</v>
      </c>
      <c r="E38">
        <v>289.484</v>
      </c>
      <c r="F38">
        <v>256037</v>
      </c>
      <c r="G38">
        <v>5.97419666666667</v>
      </c>
      <c r="H38">
        <v>33.712</v>
      </c>
      <c r="I38">
        <v>39.687</v>
      </c>
      <c r="J38">
        <v>400</v>
      </c>
      <c r="K38">
        <v>0.51</v>
      </c>
      <c r="L38">
        <v>0.001576</v>
      </c>
      <c r="M38">
        <v>0.616</v>
      </c>
      <c r="N38">
        <v>1</v>
      </c>
      <c r="O38">
        <v>0</v>
      </c>
      <c r="P38">
        <v>0</v>
      </c>
      <c r="Q38" t="s">
        <v>32</v>
      </c>
      <c r="R38">
        <v>0</v>
      </c>
      <c r="S38">
        <v>286.053</v>
      </c>
      <c r="T38">
        <v>285.241</v>
      </c>
      <c r="U38">
        <v>286.257</v>
      </c>
      <c r="V38">
        <v>285.445</v>
      </c>
      <c r="W38">
        <v>3.757</v>
      </c>
      <c r="X38">
        <v>3.357</v>
      </c>
      <c r="Y38">
        <v>4.243</v>
      </c>
      <c r="Z38">
        <v>3.843</v>
      </c>
      <c r="AA38" t="s">
        <v>36</v>
      </c>
      <c r="AB38" t="s">
        <v>109</v>
      </c>
    </row>
    <row r="39" spans="1:28">
      <c r="A39" t="s">
        <v>108</v>
      </c>
      <c r="B39" t="s">
        <v>110</v>
      </c>
      <c r="C39">
        <v>378.08</v>
      </c>
      <c r="D39">
        <v>289.484</v>
      </c>
      <c r="E39">
        <v>289.31</v>
      </c>
      <c r="F39">
        <v>220533</v>
      </c>
      <c r="G39">
        <v>5.14577</v>
      </c>
      <c r="H39">
        <v>39.687</v>
      </c>
      <c r="I39">
        <v>44.832</v>
      </c>
      <c r="J39">
        <v>500</v>
      </c>
      <c r="K39">
        <v>0.4</v>
      </c>
      <c r="L39">
        <v>0.00144</v>
      </c>
      <c r="M39">
        <v>0.611</v>
      </c>
      <c r="N39">
        <v>1</v>
      </c>
      <c r="O39">
        <v>0</v>
      </c>
      <c r="P39">
        <v>0</v>
      </c>
      <c r="Q39" t="s">
        <v>32</v>
      </c>
      <c r="R39">
        <v>0</v>
      </c>
      <c r="S39">
        <v>285.141</v>
      </c>
      <c r="T39">
        <v>284.597</v>
      </c>
      <c r="U39">
        <v>285.341</v>
      </c>
      <c r="V39">
        <v>284.797</v>
      </c>
      <c r="W39">
        <v>4.343</v>
      </c>
      <c r="X39">
        <v>3.843</v>
      </c>
      <c r="Y39">
        <v>4.713</v>
      </c>
      <c r="Z39">
        <v>4.213</v>
      </c>
      <c r="AA39" t="s">
        <v>41</v>
      </c>
      <c r="AB39" t="s">
        <v>111</v>
      </c>
    </row>
    <row r="40" spans="1:28">
      <c r="A40" t="s">
        <v>110</v>
      </c>
      <c r="B40" t="s">
        <v>112</v>
      </c>
      <c r="C40">
        <v>404.88</v>
      </c>
      <c r="D40">
        <v>289.31</v>
      </c>
      <c r="E40">
        <v>289.088</v>
      </c>
      <c r="F40">
        <v>224517</v>
      </c>
      <c r="G40">
        <v>5.23873</v>
      </c>
      <c r="H40">
        <v>44.832</v>
      </c>
      <c r="I40">
        <v>50.071</v>
      </c>
      <c r="J40">
        <v>500</v>
      </c>
      <c r="K40">
        <v>0.44</v>
      </c>
      <c r="L40">
        <v>0.001273</v>
      </c>
      <c r="M40">
        <v>0.602</v>
      </c>
      <c r="N40">
        <v>1</v>
      </c>
      <c r="O40">
        <v>0</v>
      </c>
      <c r="P40">
        <v>0</v>
      </c>
      <c r="Q40" t="s">
        <v>32</v>
      </c>
      <c r="R40">
        <v>0</v>
      </c>
      <c r="S40">
        <v>284.577</v>
      </c>
      <c r="T40">
        <v>284.062</v>
      </c>
      <c r="U40">
        <v>284.797</v>
      </c>
      <c r="V40">
        <v>284.282</v>
      </c>
      <c r="W40">
        <v>4.733</v>
      </c>
      <c r="X40">
        <v>4.233</v>
      </c>
      <c r="Y40">
        <v>5.026</v>
      </c>
      <c r="Z40">
        <v>4.526</v>
      </c>
      <c r="AA40" t="s">
        <v>36</v>
      </c>
      <c r="AB40" t="s">
        <v>113</v>
      </c>
    </row>
    <row r="41" spans="1:28">
      <c r="A41" t="s">
        <v>112</v>
      </c>
      <c r="B41" t="s">
        <v>114</v>
      </c>
      <c r="C41">
        <v>342.43</v>
      </c>
      <c r="D41">
        <v>289.088</v>
      </c>
      <c r="E41">
        <v>288.853</v>
      </c>
      <c r="F41">
        <v>202958</v>
      </c>
      <c r="G41">
        <v>4.73568666666667</v>
      </c>
      <c r="H41">
        <v>50.071</v>
      </c>
      <c r="I41">
        <v>54.807</v>
      </c>
      <c r="J41">
        <v>500</v>
      </c>
      <c r="K41">
        <v>0.47</v>
      </c>
      <c r="L41">
        <v>0.001209</v>
      </c>
      <c r="M41">
        <v>0.604</v>
      </c>
      <c r="N41">
        <v>1</v>
      </c>
      <c r="O41">
        <v>0</v>
      </c>
      <c r="P41">
        <v>0</v>
      </c>
      <c r="Q41" t="s">
        <v>32</v>
      </c>
      <c r="R41">
        <v>0</v>
      </c>
      <c r="S41">
        <v>284.047</v>
      </c>
      <c r="T41">
        <v>283.633</v>
      </c>
      <c r="U41">
        <v>284.282</v>
      </c>
      <c r="V41">
        <v>283.868</v>
      </c>
      <c r="W41">
        <v>5.041</v>
      </c>
      <c r="X41">
        <v>4.541</v>
      </c>
      <c r="Y41">
        <v>5.22</v>
      </c>
      <c r="Z41">
        <v>4.72</v>
      </c>
      <c r="AA41" t="s">
        <v>36</v>
      </c>
      <c r="AB41" t="s">
        <v>115</v>
      </c>
    </row>
    <row r="42" spans="1:28">
      <c r="A42" t="s">
        <v>114</v>
      </c>
      <c r="B42" t="s">
        <v>116</v>
      </c>
      <c r="C42">
        <v>338.15</v>
      </c>
      <c r="D42">
        <v>288.853</v>
      </c>
      <c r="E42">
        <v>288.557</v>
      </c>
      <c r="F42">
        <v>186963</v>
      </c>
      <c r="G42">
        <v>4.36247</v>
      </c>
      <c r="H42">
        <v>54.807</v>
      </c>
      <c r="I42">
        <v>59.169</v>
      </c>
      <c r="J42">
        <v>500</v>
      </c>
      <c r="K42">
        <v>0.49</v>
      </c>
      <c r="L42">
        <v>0.00122</v>
      </c>
      <c r="M42">
        <v>0.618</v>
      </c>
      <c r="N42">
        <v>1</v>
      </c>
      <c r="O42">
        <v>0</v>
      </c>
      <c r="P42">
        <v>0</v>
      </c>
      <c r="Q42" t="s">
        <v>32</v>
      </c>
      <c r="R42">
        <v>0</v>
      </c>
      <c r="S42">
        <v>283.623</v>
      </c>
      <c r="T42">
        <v>283.21</v>
      </c>
      <c r="U42">
        <v>283.868</v>
      </c>
      <c r="V42">
        <v>283.455</v>
      </c>
      <c r="W42">
        <v>5.23</v>
      </c>
      <c r="X42">
        <v>4.73</v>
      </c>
      <c r="Y42">
        <v>5.347</v>
      </c>
      <c r="Z42">
        <v>4.847</v>
      </c>
      <c r="AA42" t="s">
        <v>36</v>
      </c>
      <c r="AB42" t="s">
        <v>117</v>
      </c>
    </row>
    <row r="43" spans="1:28">
      <c r="A43" t="s">
        <v>116</v>
      </c>
      <c r="B43" t="s">
        <v>118</v>
      </c>
      <c r="C43">
        <v>522.54</v>
      </c>
      <c r="D43">
        <v>288.557</v>
      </c>
      <c r="E43">
        <v>288.158</v>
      </c>
      <c r="F43">
        <v>289999</v>
      </c>
      <c r="G43">
        <v>6.76664333333333</v>
      </c>
      <c r="H43">
        <v>59.169</v>
      </c>
      <c r="I43">
        <v>65.936</v>
      </c>
      <c r="J43">
        <v>600</v>
      </c>
      <c r="K43">
        <v>0.41</v>
      </c>
      <c r="L43">
        <v>0.001076</v>
      </c>
      <c r="M43">
        <v>0.604</v>
      </c>
      <c r="N43">
        <v>1</v>
      </c>
      <c r="O43">
        <v>0</v>
      </c>
      <c r="P43">
        <v>0</v>
      </c>
      <c r="Q43" t="s">
        <v>32</v>
      </c>
      <c r="R43">
        <v>0</v>
      </c>
      <c r="S43">
        <v>283.11</v>
      </c>
      <c r="T43">
        <v>282.548</v>
      </c>
      <c r="U43">
        <v>283.356</v>
      </c>
      <c r="V43">
        <v>282.794</v>
      </c>
      <c r="W43">
        <v>5.447</v>
      </c>
      <c r="X43">
        <v>4.847</v>
      </c>
      <c r="Y43">
        <v>5.61</v>
      </c>
      <c r="Z43">
        <v>5.01</v>
      </c>
      <c r="AA43" t="s">
        <v>41</v>
      </c>
      <c r="AB43" t="s">
        <v>119</v>
      </c>
    </row>
    <row r="44" spans="1:28">
      <c r="A44" t="s">
        <v>118</v>
      </c>
      <c r="B44" t="s">
        <v>99</v>
      </c>
      <c r="C44">
        <v>540.67</v>
      </c>
      <c r="D44">
        <v>288.158</v>
      </c>
      <c r="E44">
        <v>287.74</v>
      </c>
      <c r="F44">
        <v>317324</v>
      </c>
      <c r="G44">
        <v>7.40422666666667</v>
      </c>
      <c r="H44">
        <v>65.936</v>
      </c>
      <c r="I44">
        <v>73.34</v>
      </c>
      <c r="J44">
        <v>600</v>
      </c>
      <c r="K44">
        <v>0.44</v>
      </c>
      <c r="L44">
        <v>0.001033</v>
      </c>
      <c r="M44">
        <v>0.612</v>
      </c>
      <c r="N44">
        <v>1</v>
      </c>
      <c r="O44">
        <v>0</v>
      </c>
      <c r="P44">
        <v>0</v>
      </c>
      <c r="Q44" t="s">
        <v>32</v>
      </c>
      <c r="R44">
        <v>0</v>
      </c>
      <c r="S44">
        <v>282.53</v>
      </c>
      <c r="T44">
        <v>281.971</v>
      </c>
      <c r="U44">
        <v>282.794</v>
      </c>
      <c r="V44">
        <v>282.235</v>
      </c>
      <c r="W44">
        <v>5.628</v>
      </c>
      <c r="X44">
        <v>5.028</v>
      </c>
      <c r="Y44">
        <v>5.769</v>
      </c>
      <c r="Z44">
        <v>5.169</v>
      </c>
      <c r="AA44" t="s">
        <v>36</v>
      </c>
      <c r="AB44" t="s">
        <v>120</v>
      </c>
    </row>
    <row r="45" spans="1:28">
      <c r="A45" t="s">
        <v>99</v>
      </c>
      <c r="B45" t="s">
        <v>121</v>
      </c>
      <c r="C45">
        <v>856.09</v>
      </c>
      <c r="D45">
        <v>287.74</v>
      </c>
      <c r="E45">
        <v>287.604</v>
      </c>
      <c r="F45">
        <v>0</v>
      </c>
      <c r="G45">
        <v>0</v>
      </c>
      <c r="H45">
        <v>222.341</v>
      </c>
      <c r="I45">
        <v>222.341</v>
      </c>
      <c r="J45">
        <v>1000</v>
      </c>
      <c r="K45">
        <v>0.44</v>
      </c>
      <c r="L45">
        <v>0.000623</v>
      </c>
      <c r="M45">
        <v>0.668</v>
      </c>
      <c r="N45">
        <v>1</v>
      </c>
      <c r="O45">
        <v>4.347</v>
      </c>
      <c r="P45">
        <v>0</v>
      </c>
      <c r="Q45" t="s">
        <v>32</v>
      </c>
      <c r="R45">
        <v>0</v>
      </c>
      <c r="S45">
        <v>285.24</v>
      </c>
      <c r="T45">
        <v>284.707</v>
      </c>
      <c r="U45">
        <v>285.68</v>
      </c>
      <c r="V45">
        <v>285.147</v>
      </c>
      <c r="W45">
        <v>2.5</v>
      </c>
      <c r="X45">
        <v>1.5</v>
      </c>
      <c r="Y45">
        <v>2.897</v>
      </c>
      <c r="Z45">
        <v>1.897</v>
      </c>
      <c r="AA45" t="s">
        <v>41</v>
      </c>
      <c r="AB45" t="s">
        <v>122</v>
      </c>
    </row>
    <row r="46" spans="1:28">
      <c r="A46" t="s">
        <v>121</v>
      </c>
      <c r="B46" t="s">
        <v>123</v>
      </c>
      <c r="C46">
        <v>153.18</v>
      </c>
      <c r="D46">
        <v>287.604</v>
      </c>
      <c r="E46">
        <v>287.558</v>
      </c>
      <c r="F46">
        <v>0</v>
      </c>
      <c r="G46">
        <v>0</v>
      </c>
      <c r="H46">
        <v>222.341</v>
      </c>
      <c r="I46">
        <v>222.341</v>
      </c>
      <c r="J46">
        <v>1000</v>
      </c>
      <c r="K46">
        <v>0.44</v>
      </c>
      <c r="L46">
        <v>0.000623</v>
      </c>
      <c r="M46">
        <v>0.668</v>
      </c>
      <c r="N46">
        <v>1</v>
      </c>
      <c r="O46">
        <v>0</v>
      </c>
      <c r="P46">
        <v>0</v>
      </c>
      <c r="Q46" t="s">
        <v>32</v>
      </c>
      <c r="R46">
        <v>0</v>
      </c>
      <c r="S46">
        <v>284.707</v>
      </c>
      <c r="T46">
        <v>284.612</v>
      </c>
      <c r="U46">
        <v>285.147</v>
      </c>
      <c r="V46">
        <v>285.052</v>
      </c>
      <c r="W46">
        <v>2.897</v>
      </c>
      <c r="X46">
        <v>1.897</v>
      </c>
      <c r="Y46">
        <v>2.946</v>
      </c>
      <c r="Z46">
        <v>1.946</v>
      </c>
      <c r="AA46" t="s">
        <v>36</v>
      </c>
      <c r="AB46" t="s">
        <v>124</v>
      </c>
    </row>
    <row r="47" spans="1:28">
      <c r="A47" t="s">
        <v>123</v>
      </c>
      <c r="B47" t="s">
        <v>125</v>
      </c>
      <c r="C47">
        <v>240.31</v>
      </c>
      <c r="D47">
        <v>287.558</v>
      </c>
      <c r="E47">
        <v>287.479</v>
      </c>
      <c r="F47">
        <v>0</v>
      </c>
      <c r="G47">
        <v>0</v>
      </c>
      <c r="H47">
        <v>222.341</v>
      </c>
      <c r="I47">
        <v>222.341</v>
      </c>
      <c r="J47">
        <v>1000</v>
      </c>
      <c r="K47">
        <v>0.44</v>
      </c>
      <c r="L47">
        <v>0.000623</v>
      </c>
      <c r="M47">
        <v>0.668</v>
      </c>
      <c r="N47">
        <v>1</v>
      </c>
      <c r="O47">
        <v>0</v>
      </c>
      <c r="P47">
        <v>0</v>
      </c>
      <c r="Q47" t="s">
        <v>32</v>
      </c>
      <c r="R47">
        <v>0</v>
      </c>
      <c r="S47">
        <v>284.612</v>
      </c>
      <c r="T47">
        <v>284.462</v>
      </c>
      <c r="U47">
        <v>285.052</v>
      </c>
      <c r="V47">
        <v>284.902</v>
      </c>
      <c r="W47">
        <v>2.946</v>
      </c>
      <c r="X47">
        <v>1.946</v>
      </c>
      <c r="Y47">
        <v>3.017</v>
      </c>
      <c r="Z47">
        <v>2.017</v>
      </c>
      <c r="AA47" t="s">
        <v>36</v>
      </c>
      <c r="AB47" t="s">
        <v>126</v>
      </c>
    </row>
    <row r="48" spans="1:28">
      <c r="A48" t="s">
        <v>125</v>
      </c>
      <c r="B48" t="s">
        <v>127</v>
      </c>
      <c r="C48">
        <v>439.37</v>
      </c>
      <c r="D48">
        <v>287.479</v>
      </c>
      <c r="E48">
        <v>287.356</v>
      </c>
      <c r="F48">
        <v>0</v>
      </c>
      <c r="G48">
        <v>0</v>
      </c>
      <c r="H48">
        <v>222.341</v>
      </c>
      <c r="I48">
        <v>222.341</v>
      </c>
      <c r="J48">
        <v>1000</v>
      </c>
      <c r="K48">
        <v>0.44</v>
      </c>
      <c r="L48">
        <v>0.000623</v>
      </c>
      <c r="M48">
        <v>0.668</v>
      </c>
      <c r="N48">
        <v>1</v>
      </c>
      <c r="O48">
        <v>0</v>
      </c>
      <c r="P48">
        <v>0</v>
      </c>
      <c r="Q48">
        <v>0.589</v>
      </c>
      <c r="R48">
        <v>0</v>
      </c>
      <c r="S48">
        <v>284.462</v>
      </c>
      <c r="T48">
        <v>284.188</v>
      </c>
      <c r="U48">
        <v>284.902</v>
      </c>
      <c r="V48">
        <v>284.628</v>
      </c>
      <c r="W48">
        <v>3.017</v>
      </c>
      <c r="X48">
        <v>2.017</v>
      </c>
      <c r="Y48">
        <v>3.168</v>
      </c>
      <c r="Z48">
        <v>2.168</v>
      </c>
      <c r="AA48" t="s">
        <v>36</v>
      </c>
      <c r="AB48" t="s">
        <v>128</v>
      </c>
    </row>
    <row r="49" spans="1:28">
      <c r="A49" t="s">
        <v>129</v>
      </c>
      <c r="B49" t="s">
        <v>130</v>
      </c>
      <c r="C49">
        <v>414.14</v>
      </c>
      <c r="D49">
        <v>289.859</v>
      </c>
      <c r="E49">
        <v>289.764</v>
      </c>
      <c r="F49">
        <v>333231</v>
      </c>
      <c r="G49">
        <v>10.0972078472222</v>
      </c>
      <c r="H49">
        <v>0</v>
      </c>
      <c r="I49">
        <v>10.097</v>
      </c>
      <c r="J49">
        <v>300</v>
      </c>
      <c r="K49">
        <v>0.28</v>
      </c>
      <c r="L49">
        <v>0.004313</v>
      </c>
      <c r="M49">
        <v>0.623</v>
      </c>
      <c r="N49">
        <v>1</v>
      </c>
      <c r="O49">
        <v>0</v>
      </c>
      <c r="P49">
        <v>0</v>
      </c>
      <c r="Q49" t="s">
        <v>32</v>
      </c>
      <c r="R49">
        <v>0</v>
      </c>
      <c r="S49">
        <v>288.059</v>
      </c>
      <c r="T49">
        <v>286.273</v>
      </c>
      <c r="U49">
        <v>288.143</v>
      </c>
      <c r="V49">
        <v>286.357</v>
      </c>
      <c r="W49">
        <v>1.8</v>
      </c>
      <c r="X49">
        <v>1.5</v>
      </c>
      <c r="Y49">
        <v>3.491</v>
      </c>
      <c r="Z49">
        <v>3.191</v>
      </c>
      <c r="AA49" t="s">
        <v>33</v>
      </c>
      <c r="AB49" t="s">
        <v>131</v>
      </c>
    </row>
    <row r="50" spans="1:28">
      <c r="A50" t="s">
        <v>130</v>
      </c>
      <c r="B50" t="s">
        <v>132</v>
      </c>
      <c r="C50">
        <v>1065.87</v>
      </c>
      <c r="D50">
        <v>289.764</v>
      </c>
      <c r="E50">
        <v>289.482</v>
      </c>
      <c r="F50">
        <v>1720208</v>
      </c>
      <c r="G50">
        <v>52.1238951851852</v>
      </c>
      <c r="H50">
        <v>10.097</v>
      </c>
      <c r="I50">
        <v>62.221</v>
      </c>
      <c r="J50">
        <v>500</v>
      </c>
      <c r="K50">
        <v>0.5</v>
      </c>
      <c r="L50">
        <v>0.00126</v>
      </c>
      <c r="M50">
        <v>0.634</v>
      </c>
      <c r="N50">
        <v>1</v>
      </c>
      <c r="O50">
        <v>0</v>
      </c>
      <c r="P50">
        <v>0</v>
      </c>
      <c r="Q50" t="s">
        <v>32</v>
      </c>
      <c r="R50">
        <v>0</v>
      </c>
      <c r="S50">
        <v>286.073</v>
      </c>
      <c r="T50">
        <v>284.73</v>
      </c>
      <c r="U50">
        <v>286.323</v>
      </c>
      <c r="V50">
        <v>284.98</v>
      </c>
      <c r="W50">
        <v>3.691</v>
      </c>
      <c r="X50">
        <v>3.191</v>
      </c>
      <c r="Y50">
        <v>4.752</v>
      </c>
      <c r="Z50">
        <v>4.252</v>
      </c>
      <c r="AA50" t="s">
        <v>41</v>
      </c>
      <c r="AB50" t="s">
        <v>133</v>
      </c>
    </row>
    <row r="51" spans="1:28">
      <c r="A51" t="s">
        <v>132</v>
      </c>
      <c r="B51" t="s">
        <v>134</v>
      </c>
      <c r="C51">
        <v>637.37</v>
      </c>
      <c r="D51">
        <v>289.482</v>
      </c>
      <c r="E51">
        <v>289.249</v>
      </c>
      <c r="F51">
        <v>574316</v>
      </c>
      <c r="G51">
        <v>17.4023065740741</v>
      </c>
      <c r="H51">
        <v>62.221</v>
      </c>
      <c r="I51">
        <v>79.623</v>
      </c>
      <c r="J51">
        <v>600</v>
      </c>
      <c r="K51">
        <v>0.46</v>
      </c>
      <c r="L51">
        <v>0.00104</v>
      </c>
      <c r="M51">
        <v>0.627</v>
      </c>
      <c r="N51">
        <v>1</v>
      </c>
      <c r="O51">
        <v>0</v>
      </c>
      <c r="P51">
        <v>0</v>
      </c>
      <c r="Q51" t="s">
        <v>32</v>
      </c>
      <c r="R51">
        <v>0</v>
      </c>
      <c r="S51">
        <v>284.63</v>
      </c>
      <c r="T51">
        <v>283.967</v>
      </c>
      <c r="U51">
        <v>284.906</v>
      </c>
      <c r="V51">
        <v>284.243</v>
      </c>
      <c r="W51">
        <v>4.852</v>
      </c>
      <c r="X51">
        <v>4.252</v>
      </c>
      <c r="Y51">
        <v>5.282</v>
      </c>
      <c r="Z51">
        <v>4.682</v>
      </c>
      <c r="AA51" t="s">
        <v>41</v>
      </c>
      <c r="AB51" t="s">
        <v>135</v>
      </c>
    </row>
    <row r="52" spans="1:28">
      <c r="A52" t="s">
        <v>134</v>
      </c>
      <c r="B52" t="s">
        <v>136</v>
      </c>
      <c r="C52">
        <v>442.25</v>
      </c>
      <c r="D52">
        <v>289.249</v>
      </c>
      <c r="E52">
        <v>289.007</v>
      </c>
      <c r="F52">
        <v>212797</v>
      </c>
      <c r="G52">
        <v>6.44794613425926</v>
      </c>
      <c r="H52">
        <v>79.623</v>
      </c>
      <c r="I52">
        <v>86.071</v>
      </c>
      <c r="J52">
        <v>600</v>
      </c>
      <c r="K52">
        <v>0.48</v>
      </c>
      <c r="L52">
        <v>0.001048</v>
      </c>
      <c r="M52">
        <v>0.641</v>
      </c>
      <c r="N52">
        <v>1</v>
      </c>
      <c r="O52">
        <v>0</v>
      </c>
      <c r="P52">
        <v>0</v>
      </c>
      <c r="Q52" t="s">
        <v>32</v>
      </c>
      <c r="R52">
        <v>0</v>
      </c>
      <c r="S52">
        <v>283.955</v>
      </c>
      <c r="T52">
        <v>283.492</v>
      </c>
      <c r="U52">
        <v>284.243</v>
      </c>
      <c r="V52">
        <v>283.78</v>
      </c>
      <c r="W52">
        <v>5.294</v>
      </c>
      <c r="X52">
        <v>4.694</v>
      </c>
      <c r="Y52">
        <v>5.515</v>
      </c>
      <c r="Z52">
        <v>4.915</v>
      </c>
      <c r="AA52" t="s">
        <v>36</v>
      </c>
      <c r="AB52" t="s">
        <v>137</v>
      </c>
    </row>
    <row r="53" spans="1:28">
      <c r="A53" t="s">
        <v>136</v>
      </c>
      <c r="B53" t="s">
        <v>138</v>
      </c>
      <c r="C53">
        <v>314.84</v>
      </c>
      <c r="D53">
        <v>289.007</v>
      </c>
      <c r="E53">
        <v>288.773</v>
      </c>
      <c r="F53">
        <v>449201</v>
      </c>
      <c r="G53">
        <v>13.6112062268519</v>
      </c>
      <c r="H53">
        <v>86.071</v>
      </c>
      <c r="I53">
        <v>99.683</v>
      </c>
      <c r="J53">
        <v>600</v>
      </c>
      <c r="K53">
        <v>0.53</v>
      </c>
      <c r="L53">
        <v>0.001006</v>
      </c>
      <c r="M53">
        <v>0.655</v>
      </c>
      <c r="N53">
        <v>1</v>
      </c>
      <c r="O53">
        <v>1.945</v>
      </c>
      <c r="P53">
        <v>0</v>
      </c>
      <c r="Q53" t="s">
        <v>32</v>
      </c>
      <c r="R53">
        <v>0</v>
      </c>
      <c r="S53">
        <v>285.407</v>
      </c>
      <c r="T53">
        <v>285.09</v>
      </c>
      <c r="U53">
        <v>285.725</v>
      </c>
      <c r="V53">
        <v>285.408</v>
      </c>
      <c r="W53">
        <v>3.6</v>
      </c>
      <c r="X53">
        <v>3</v>
      </c>
      <c r="Y53">
        <v>3.683</v>
      </c>
      <c r="Z53">
        <v>3.083</v>
      </c>
      <c r="AA53" t="s">
        <v>36</v>
      </c>
      <c r="AB53" t="s">
        <v>139</v>
      </c>
    </row>
    <row r="54" spans="1:28">
      <c r="A54" t="s">
        <v>138</v>
      </c>
      <c r="B54" t="s">
        <v>140</v>
      </c>
      <c r="C54">
        <v>504.35</v>
      </c>
      <c r="D54">
        <v>288.773</v>
      </c>
      <c r="E54">
        <v>288.333</v>
      </c>
      <c r="F54">
        <v>895069</v>
      </c>
      <c r="G54">
        <v>27.1214194675926</v>
      </c>
      <c r="H54">
        <v>99.683</v>
      </c>
      <c r="I54">
        <v>126.804</v>
      </c>
      <c r="J54">
        <v>800</v>
      </c>
      <c r="K54">
        <v>0.41</v>
      </c>
      <c r="L54">
        <v>0.000858</v>
      </c>
      <c r="M54">
        <v>0.653</v>
      </c>
      <c r="N54">
        <v>1</v>
      </c>
      <c r="O54">
        <v>0</v>
      </c>
      <c r="P54">
        <v>0</v>
      </c>
      <c r="Q54" t="s">
        <v>32</v>
      </c>
      <c r="R54">
        <v>0</v>
      </c>
      <c r="S54">
        <v>284.89</v>
      </c>
      <c r="T54">
        <v>284.457</v>
      </c>
      <c r="U54">
        <v>285.218</v>
      </c>
      <c r="V54">
        <v>284.785</v>
      </c>
      <c r="W54">
        <v>3.883</v>
      </c>
      <c r="X54">
        <v>3.083</v>
      </c>
      <c r="Y54">
        <v>3.876</v>
      </c>
      <c r="Z54">
        <v>3.076</v>
      </c>
      <c r="AA54" t="s">
        <v>41</v>
      </c>
      <c r="AB54" t="s">
        <v>141</v>
      </c>
    </row>
    <row r="55" spans="1:28">
      <c r="A55" t="s">
        <v>140</v>
      </c>
      <c r="B55" t="s">
        <v>142</v>
      </c>
      <c r="C55">
        <v>720.48</v>
      </c>
      <c r="D55">
        <v>288.333</v>
      </c>
      <c r="E55">
        <v>287.818</v>
      </c>
      <c r="F55">
        <v>530131</v>
      </c>
      <c r="G55">
        <v>16.063460162037</v>
      </c>
      <c r="H55">
        <v>126.804</v>
      </c>
      <c r="I55">
        <v>142.867</v>
      </c>
      <c r="J55">
        <v>800</v>
      </c>
      <c r="K55">
        <v>0.44</v>
      </c>
      <c r="L55">
        <v>0.000845</v>
      </c>
      <c r="M55">
        <v>0.671</v>
      </c>
      <c r="N55">
        <v>1</v>
      </c>
      <c r="O55">
        <v>0</v>
      </c>
      <c r="P55">
        <v>0</v>
      </c>
      <c r="Q55" t="s">
        <v>32</v>
      </c>
      <c r="R55">
        <v>0</v>
      </c>
      <c r="S55">
        <v>284.433</v>
      </c>
      <c r="T55">
        <v>283.824</v>
      </c>
      <c r="U55">
        <v>284.785</v>
      </c>
      <c r="V55">
        <v>284.176</v>
      </c>
      <c r="W55">
        <v>3.9</v>
      </c>
      <c r="X55">
        <v>3.1</v>
      </c>
      <c r="Y55">
        <v>3.994</v>
      </c>
      <c r="Z55">
        <v>3.194</v>
      </c>
      <c r="AA55" t="s">
        <v>36</v>
      </c>
      <c r="AB55" t="s">
        <v>143</v>
      </c>
    </row>
    <row r="56" spans="1:28">
      <c r="A56" t="s">
        <v>142</v>
      </c>
      <c r="B56" t="s">
        <v>144</v>
      </c>
      <c r="C56">
        <v>431.5</v>
      </c>
      <c r="D56">
        <v>287.818</v>
      </c>
      <c r="E56">
        <v>287.473</v>
      </c>
      <c r="F56">
        <v>215928</v>
      </c>
      <c r="G56">
        <v>6.54281833333333</v>
      </c>
      <c r="H56">
        <v>142.867</v>
      </c>
      <c r="I56">
        <v>149.41</v>
      </c>
      <c r="J56">
        <v>800</v>
      </c>
      <c r="K56">
        <v>0.45</v>
      </c>
      <c r="L56">
        <v>0.000853</v>
      </c>
      <c r="M56">
        <v>0.681</v>
      </c>
      <c r="N56">
        <v>1</v>
      </c>
      <c r="O56">
        <v>0</v>
      </c>
      <c r="P56">
        <v>0</v>
      </c>
      <c r="Q56" t="s">
        <v>32</v>
      </c>
      <c r="R56">
        <v>0</v>
      </c>
      <c r="S56">
        <v>283.816</v>
      </c>
      <c r="T56">
        <v>283.448</v>
      </c>
      <c r="U56">
        <v>284.176</v>
      </c>
      <c r="V56">
        <v>283.808</v>
      </c>
      <c r="W56">
        <v>4.002</v>
      </c>
      <c r="X56">
        <v>3.202</v>
      </c>
      <c r="Y56">
        <v>4.025</v>
      </c>
      <c r="Z56">
        <v>3.225</v>
      </c>
      <c r="AA56" t="s">
        <v>36</v>
      </c>
      <c r="AB56" t="s">
        <v>145</v>
      </c>
    </row>
    <row r="57" spans="1:28">
      <c r="A57" t="s">
        <v>144</v>
      </c>
      <c r="B57" t="s">
        <v>146</v>
      </c>
      <c r="C57">
        <v>506.51</v>
      </c>
      <c r="D57">
        <v>287.473</v>
      </c>
      <c r="E57">
        <v>287.123</v>
      </c>
      <c r="F57">
        <v>645213</v>
      </c>
      <c r="G57">
        <v>19.5505513194444</v>
      </c>
      <c r="H57">
        <v>149.41</v>
      </c>
      <c r="I57">
        <v>168.961</v>
      </c>
      <c r="J57">
        <v>800</v>
      </c>
      <c r="K57">
        <v>0.49</v>
      </c>
      <c r="L57">
        <v>0.000811</v>
      </c>
      <c r="M57">
        <v>0.69</v>
      </c>
      <c r="N57">
        <v>1</v>
      </c>
      <c r="O57">
        <v>0</v>
      </c>
      <c r="P57">
        <v>0</v>
      </c>
      <c r="Q57" t="s">
        <v>32</v>
      </c>
      <c r="R57">
        <v>0</v>
      </c>
      <c r="S57">
        <v>283.416</v>
      </c>
      <c r="T57">
        <v>283.005</v>
      </c>
      <c r="U57">
        <v>283.808</v>
      </c>
      <c r="V57">
        <v>283.397</v>
      </c>
      <c r="W57">
        <v>4.057</v>
      </c>
      <c r="X57">
        <v>3.257</v>
      </c>
      <c r="Y57">
        <v>4.118</v>
      </c>
      <c r="Z57">
        <v>3.318</v>
      </c>
      <c r="AA57" t="s">
        <v>36</v>
      </c>
      <c r="AB57" t="s">
        <v>147</v>
      </c>
    </row>
    <row r="58" spans="1:28">
      <c r="A58" t="s">
        <v>146</v>
      </c>
      <c r="B58" t="s">
        <v>148</v>
      </c>
      <c r="C58">
        <v>865.49</v>
      </c>
      <c r="D58">
        <v>287.123</v>
      </c>
      <c r="E58">
        <v>287.61</v>
      </c>
      <c r="F58">
        <v>0</v>
      </c>
      <c r="G58">
        <v>0</v>
      </c>
      <c r="H58">
        <v>168.961</v>
      </c>
      <c r="I58">
        <v>168.961</v>
      </c>
      <c r="J58">
        <v>800</v>
      </c>
      <c r="K58">
        <v>0.49</v>
      </c>
      <c r="L58">
        <v>0.000811</v>
      </c>
      <c r="M58">
        <v>0.69</v>
      </c>
      <c r="N58">
        <v>1</v>
      </c>
      <c r="O58">
        <v>0</v>
      </c>
      <c r="P58">
        <v>0</v>
      </c>
      <c r="Q58">
        <v>0.152</v>
      </c>
      <c r="R58">
        <v>0</v>
      </c>
      <c r="S58">
        <v>283.005</v>
      </c>
      <c r="T58">
        <v>282.303</v>
      </c>
      <c r="U58">
        <v>283.397</v>
      </c>
      <c r="V58">
        <v>282.695</v>
      </c>
      <c r="W58">
        <v>4.118</v>
      </c>
      <c r="X58">
        <v>3.318</v>
      </c>
      <c r="Y58">
        <v>5.307</v>
      </c>
      <c r="Z58">
        <v>4.507</v>
      </c>
      <c r="AA58" t="s">
        <v>36</v>
      </c>
      <c r="AB58" t="s">
        <v>149</v>
      </c>
    </row>
    <row r="59" spans="1:28">
      <c r="A59" t="s">
        <v>150</v>
      </c>
      <c r="B59" t="s">
        <v>151</v>
      </c>
      <c r="C59">
        <v>258.44</v>
      </c>
      <c r="D59">
        <v>289.06</v>
      </c>
      <c r="E59">
        <v>288.86</v>
      </c>
      <c r="F59">
        <v>378525</v>
      </c>
      <c r="G59">
        <v>11.4696579861111</v>
      </c>
      <c r="H59">
        <v>0</v>
      </c>
      <c r="I59">
        <v>11.47</v>
      </c>
      <c r="J59">
        <v>300</v>
      </c>
      <c r="K59">
        <v>0.31</v>
      </c>
      <c r="L59">
        <v>0.003748</v>
      </c>
      <c r="M59">
        <v>0.615</v>
      </c>
      <c r="N59">
        <v>1</v>
      </c>
      <c r="O59">
        <v>0</v>
      </c>
      <c r="P59">
        <v>0</v>
      </c>
      <c r="Q59" t="s">
        <v>32</v>
      </c>
      <c r="R59">
        <v>0</v>
      </c>
      <c r="S59">
        <v>287.26</v>
      </c>
      <c r="T59">
        <v>286.291</v>
      </c>
      <c r="U59">
        <v>287.353</v>
      </c>
      <c r="V59">
        <v>286.384</v>
      </c>
      <c r="W59">
        <v>1.8</v>
      </c>
      <c r="X59">
        <v>1.5</v>
      </c>
      <c r="Y59">
        <v>2.569</v>
      </c>
      <c r="Z59">
        <v>2.269</v>
      </c>
      <c r="AA59" t="s">
        <v>33</v>
      </c>
      <c r="AB59" t="s">
        <v>152</v>
      </c>
    </row>
    <row r="60" spans="1:28">
      <c r="A60" t="s">
        <v>151</v>
      </c>
      <c r="B60" t="s">
        <v>153</v>
      </c>
      <c r="C60">
        <v>274.8</v>
      </c>
      <c r="D60">
        <v>288.86</v>
      </c>
      <c r="E60">
        <v>288.61</v>
      </c>
      <c r="F60">
        <v>157562</v>
      </c>
      <c r="G60">
        <v>4.77427449074074</v>
      </c>
      <c r="H60">
        <v>11.47</v>
      </c>
      <c r="I60">
        <v>16.244</v>
      </c>
      <c r="J60">
        <v>300</v>
      </c>
      <c r="K60">
        <v>0.39</v>
      </c>
      <c r="L60">
        <v>0.003162</v>
      </c>
      <c r="M60">
        <v>0.636</v>
      </c>
      <c r="N60">
        <v>1</v>
      </c>
      <c r="O60">
        <v>0</v>
      </c>
      <c r="P60">
        <v>0</v>
      </c>
      <c r="Q60" t="s">
        <v>32</v>
      </c>
      <c r="R60">
        <v>0</v>
      </c>
      <c r="S60">
        <v>286.267</v>
      </c>
      <c r="T60">
        <v>285.398</v>
      </c>
      <c r="U60">
        <v>286.384</v>
      </c>
      <c r="V60">
        <v>285.515</v>
      </c>
      <c r="W60">
        <v>2.593</v>
      </c>
      <c r="X60">
        <v>2.293</v>
      </c>
      <c r="Y60">
        <v>3.212</v>
      </c>
      <c r="Z60">
        <v>2.912</v>
      </c>
      <c r="AA60" t="s">
        <v>36</v>
      </c>
      <c r="AB60" t="s">
        <v>154</v>
      </c>
    </row>
    <row r="61" spans="1:28">
      <c r="A61" t="s">
        <v>153</v>
      </c>
      <c r="B61" t="s">
        <v>155</v>
      </c>
      <c r="C61">
        <v>280.07</v>
      </c>
      <c r="D61">
        <v>288.61</v>
      </c>
      <c r="E61">
        <v>288.36</v>
      </c>
      <c r="F61">
        <v>58343</v>
      </c>
      <c r="G61">
        <v>1.7678469212963</v>
      </c>
      <c r="H61">
        <v>16.244</v>
      </c>
      <c r="I61">
        <v>18.012</v>
      </c>
      <c r="J61">
        <v>300</v>
      </c>
      <c r="K61">
        <v>0.41</v>
      </c>
      <c r="L61">
        <v>0.003238</v>
      </c>
      <c r="M61">
        <v>0.66</v>
      </c>
      <c r="N61">
        <v>1</v>
      </c>
      <c r="O61">
        <v>0</v>
      </c>
      <c r="P61">
        <v>0</v>
      </c>
      <c r="Q61" t="s">
        <v>32</v>
      </c>
      <c r="R61">
        <v>0</v>
      </c>
      <c r="S61">
        <v>285.392</v>
      </c>
      <c r="T61">
        <v>284.485</v>
      </c>
      <c r="U61">
        <v>285.515</v>
      </c>
      <c r="V61">
        <v>284.608</v>
      </c>
      <c r="W61">
        <v>3.218</v>
      </c>
      <c r="X61">
        <v>2.918</v>
      </c>
      <c r="Y61">
        <v>3.875</v>
      </c>
      <c r="Z61">
        <v>3.575</v>
      </c>
      <c r="AA61" t="s">
        <v>36</v>
      </c>
      <c r="AB61" t="s">
        <v>156</v>
      </c>
    </row>
    <row r="62" spans="1:28">
      <c r="A62" t="s">
        <v>155</v>
      </c>
      <c r="B62" t="s">
        <v>157</v>
      </c>
      <c r="C62">
        <v>133.92</v>
      </c>
      <c r="D62">
        <v>288.36</v>
      </c>
      <c r="E62">
        <v>288.23</v>
      </c>
      <c r="F62">
        <v>148951</v>
      </c>
      <c r="G62">
        <v>4.51335321759259</v>
      </c>
      <c r="H62">
        <v>18.012</v>
      </c>
      <c r="I62">
        <v>22.525</v>
      </c>
      <c r="J62">
        <v>300</v>
      </c>
      <c r="K62">
        <v>0.47</v>
      </c>
      <c r="L62">
        <v>0.003114</v>
      </c>
      <c r="M62">
        <v>0.69</v>
      </c>
      <c r="N62">
        <v>1</v>
      </c>
      <c r="O62">
        <v>0</v>
      </c>
      <c r="P62">
        <v>0</v>
      </c>
      <c r="Q62" t="s">
        <v>32</v>
      </c>
      <c r="R62">
        <v>0</v>
      </c>
      <c r="S62">
        <v>284.467</v>
      </c>
      <c r="T62">
        <v>284.05</v>
      </c>
      <c r="U62">
        <v>284.608</v>
      </c>
      <c r="V62">
        <v>284.191</v>
      </c>
      <c r="W62">
        <v>3.893</v>
      </c>
      <c r="X62">
        <v>3.593</v>
      </c>
      <c r="Y62">
        <v>4.18</v>
      </c>
      <c r="Z62">
        <v>3.88</v>
      </c>
      <c r="AA62" t="s">
        <v>36</v>
      </c>
      <c r="AB62" t="s">
        <v>158</v>
      </c>
    </row>
    <row r="63" spans="1:28">
      <c r="A63" t="s">
        <v>157</v>
      </c>
      <c r="B63" t="s">
        <v>159</v>
      </c>
      <c r="C63">
        <v>419.21</v>
      </c>
      <c r="D63">
        <v>288.23</v>
      </c>
      <c r="E63">
        <v>287.87</v>
      </c>
      <c r="F63">
        <v>267230</v>
      </c>
      <c r="G63">
        <v>8.09731643518518</v>
      </c>
      <c r="H63">
        <v>22.525</v>
      </c>
      <c r="I63">
        <v>30.622</v>
      </c>
      <c r="J63">
        <v>400</v>
      </c>
      <c r="K63">
        <v>0.42</v>
      </c>
      <c r="L63">
        <v>0.001849</v>
      </c>
      <c r="M63">
        <v>0.611</v>
      </c>
      <c r="N63">
        <v>1</v>
      </c>
      <c r="O63">
        <v>0</v>
      </c>
      <c r="P63">
        <v>0</v>
      </c>
      <c r="Q63" t="s">
        <v>32</v>
      </c>
      <c r="R63">
        <v>0</v>
      </c>
      <c r="S63">
        <v>283.95</v>
      </c>
      <c r="T63">
        <v>283.175</v>
      </c>
      <c r="U63">
        <v>284.118</v>
      </c>
      <c r="V63">
        <v>283.343</v>
      </c>
      <c r="W63">
        <v>4.28</v>
      </c>
      <c r="X63">
        <v>3.88</v>
      </c>
      <c r="Y63">
        <v>4.695</v>
      </c>
      <c r="Z63">
        <v>4.295</v>
      </c>
      <c r="AA63" t="s">
        <v>41</v>
      </c>
      <c r="AB63" t="s">
        <v>160</v>
      </c>
    </row>
    <row r="64" spans="1:28">
      <c r="A64" t="s">
        <v>159</v>
      </c>
      <c r="B64" t="s">
        <v>148</v>
      </c>
      <c r="C64">
        <v>310.77</v>
      </c>
      <c r="D64">
        <v>287.87</v>
      </c>
      <c r="E64">
        <v>287.61</v>
      </c>
      <c r="F64">
        <v>893846</v>
      </c>
      <c r="G64">
        <v>27.0843614351852</v>
      </c>
      <c r="H64">
        <v>30.622</v>
      </c>
      <c r="I64">
        <v>57.707</v>
      </c>
      <c r="J64">
        <v>500</v>
      </c>
      <c r="K64">
        <v>0.48</v>
      </c>
      <c r="L64">
        <v>0.001246</v>
      </c>
      <c r="M64">
        <v>0.619</v>
      </c>
      <c r="N64">
        <v>1</v>
      </c>
      <c r="O64">
        <v>0</v>
      </c>
      <c r="P64">
        <v>0</v>
      </c>
      <c r="Q64">
        <v>0.385</v>
      </c>
      <c r="R64">
        <v>0</v>
      </c>
      <c r="S64">
        <v>283.075</v>
      </c>
      <c r="T64">
        <v>282.688</v>
      </c>
      <c r="U64">
        <v>283.315</v>
      </c>
      <c r="V64">
        <v>282.928</v>
      </c>
      <c r="W64">
        <v>4.795</v>
      </c>
      <c r="X64">
        <v>4.295</v>
      </c>
      <c r="Y64">
        <v>4.922</v>
      </c>
      <c r="Z64">
        <v>4.422</v>
      </c>
      <c r="AA64" t="s">
        <v>41</v>
      </c>
      <c r="AB64" t="s">
        <v>161</v>
      </c>
    </row>
    <row r="65" spans="1:28">
      <c r="A65" t="s">
        <v>148</v>
      </c>
      <c r="B65" t="s">
        <v>162</v>
      </c>
      <c r="C65">
        <v>551.2</v>
      </c>
      <c r="D65">
        <v>287.61</v>
      </c>
      <c r="E65">
        <v>287.123</v>
      </c>
      <c r="F65">
        <v>0</v>
      </c>
      <c r="G65">
        <v>0</v>
      </c>
      <c r="H65">
        <v>226.668</v>
      </c>
      <c r="I65">
        <v>226.668</v>
      </c>
      <c r="J65">
        <v>1000</v>
      </c>
      <c r="K65">
        <v>0.44</v>
      </c>
      <c r="L65">
        <v>0.000647</v>
      </c>
      <c r="M65">
        <v>0.681</v>
      </c>
      <c r="N65">
        <v>1</v>
      </c>
      <c r="O65">
        <v>0</v>
      </c>
      <c r="P65">
        <v>0</v>
      </c>
      <c r="Q65" t="s">
        <v>32</v>
      </c>
      <c r="R65">
        <v>0</v>
      </c>
      <c r="S65">
        <v>282.103</v>
      </c>
      <c r="T65">
        <v>281.746</v>
      </c>
      <c r="U65">
        <v>282.543</v>
      </c>
      <c r="V65">
        <v>282.186</v>
      </c>
      <c r="W65">
        <v>5.507</v>
      </c>
      <c r="X65">
        <v>4.507</v>
      </c>
      <c r="Y65">
        <v>5.377</v>
      </c>
      <c r="Z65">
        <v>4.377</v>
      </c>
      <c r="AA65" t="s">
        <v>41</v>
      </c>
      <c r="AB65" t="s">
        <v>163</v>
      </c>
    </row>
    <row r="66" spans="1:28">
      <c r="A66" t="s">
        <v>164</v>
      </c>
      <c r="B66" t="s">
        <v>165</v>
      </c>
      <c r="C66">
        <v>247.71</v>
      </c>
      <c r="D66">
        <v>289.22</v>
      </c>
      <c r="E66">
        <v>289.08</v>
      </c>
      <c r="F66">
        <v>285267</v>
      </c>
      <c r="G66">
        <v>8.64385423611111</v>
      </c>
      <c r="H66">
        <v>0</v>
      </c>
      <c r="I66">
        <v>8.644</v>
      </c>
      <c r="J66">
        <v>300</v>
      </c>
      <c r="K66">
        <v>0.25</v>
      </c>
      <c r="L66">
        <v>0.004939</v>
      </c>
      <c r="M66">
        <v>0.625</v>
      </c>
      <c r="N66">
        <v>1</v>
      </c>
      <c r="O66">
        <v>0</v>
      </c>
      <c r="P66">
        <v>0</v>
      </c>
      <c r="Q66" t="s">
        <v>32</v>
      </c>
      <c r="R66">
        <v>0</v>
      </c>
      <c r="S66">
        <v>287.42</v>
      </c>
      <c r="T66">
        <v>286.197</v>
      </c>
      <c r="U66">
        <v>287.495</v>
      </c>
      <c r="V66">
        <v>286.272</v>
      </c>
      <c r="W66">
        <v>1.8</v>
      </c>
      <c r="X66">
        <v>1.5</v>
      </c>
      <c r="Y66">
        <v>2.883</v>
      </c>
      <c r="Z66">
        <v>2.583</v>
      </c>
      <c r="AA66" t="s">
        <v>33</v>
      </c>
      <c r="AB66" t="s">
        <v>166</v>
      </c>
    </row>
    <row r="67" spans="1:28">
      <c r="A67" t="s">
        <v>165</v>
      </c>
      <c r="B67" t="s">
        <v>167</v>
      </c>
      <c r="C67">
        <v>280.93</v>
      </c>
      <c r="D67">
        <v>289.08</v>
      </c>
      <c r="E67">
        <v>288.87</v>
      </c>
      <c r="F67">
        <v>176006</v>
      </c>
      <c r="G67">
        <v>5.33314476851852</v>
      </c>
      <c r="H67">
        <v>8.644</v>
      </c>
      <c r="I67">
        <v>13.977</v>
      </c>
      <c r="J67">
        <v>300</v>
      </c>
      <c r="K67">
        <v>0.36</v>
      </c>
      <c r="L67">
        <v>0.003152</v>
      </c>
      <c r="M67">
        <v>0.61</v>
      </c>
      <c r="N67">
        <v>1</v>
      </c>
      <c r="O67">
        <v>0</v>
      </c>
      <c r="P67">
        <v>0</v>
      </c>
      <c r="Q67" t="s">
        <v>32</v>
      </c>
      <c r="R67">
        <v>0</v>
      </c>
      <c r="S67">
        <v>286.164</v>
      </c>
      <c r="T67">
        <v>285.279</v>
      </c>
      <c r="U67">
        <v>286.272</v>
      </c>
      <c r="V67">
        <v>285.387</v>
      </c>
      <c r="W67">
        <v>2.916</v>
      </c>
      <c r="X67">
        <v>2.616</v>
      </c>
      <c r="Y67">
        <v>3.591</v>
      </c>
      <c r="Z67">
        <v>3.291</v>
      </c>
      <c r="AA67" t="s">
        <v>36</v>
      </c>
      <c r="AB67" t="s">
        <v>168</v>
      </c>
    </row>
    <row r="68" spans="1:28">
      <c r="A68" t="s">
        <v>167</v>
      </c>
      <c r="B68" t="s">
        <v>169</v>
      </c>
      <c r="C68">
        <v>284.69</v>
      </c>
      <c r="D68">
        <v>288.87</v>
      </c>
      <c r="E68">
        <v>288.61</v>
      </c>
      <c r="F68">
        <v>182540</v>
      </c>
      <c r="G68">
        <v>5.53113101851852</v>
      </c>
      <c r="H68">
        <v>13.977</v>
      </c>
      <c r="I68">
        <v>19.508</v>
      </c>
      <c r="J68">
        <v>300</v>
      </c>
      <c r="K68">
        <v>0.43</v>
      </c>
      <c r="L68">
        <v>0.003198</v>
      </c>
      <c r="M68">
        <v>0.671</v>
      </c>
      <c r="N68">
        <v>1</v>
      </c>
      <c r="O68">
        <v>0</v>
      </c>
      <c r="P68">
        <v>0</v>
      </c>
      <c r="Q68" t="s">
        <v>32</v>
      </c>
      <c r="R68">
        <v>0</v>
      </c>
      <c r="S68">
        <v>285.258</v>
      </c>
      <c r="T68">
        <v>284.348</v>
      </c>
      <c r="U68">
        <v>285.387</v>
      </c>
      <c r="V68">
        <v>284.477</v>
      </c>
      <c r="W68">
        <v>3.612</v>
      </c>
      <c r="X68">
        <v>3.312</v>
      </c>
      <c r="Y68">
        <v>4.262</v>
      </c>
      <c r="Z68">
        <v>3.962</v>
      </c>
      <c r="AA68" t="s">
        <v>36</v>
      </c>
      <c r="AB68" t="s">
        <v>170</v>
      </c>
    </row>
    <row r="69" spans="1:28">
      <c r="A69" t="s">
        <v>169</v>
      </c>
      <c r="B69" t="s">
        <v>171</v>
      </c>
      <c r="C69">
        <v>252.83</v>
      </c>
      <c r="D69">
        <v>288.61</v>
      </c>
      <c r="E69">
        <v>288.39</v>
      </c>
      <c r="F69">
        <v>114398</v>
      </c>
      <c r="G69">
        <v>3.46636532407407</v>
      </c>
      <c r="H69">
        <v>19.508</v>
      </c>
      <c r="I69">
        <v>22.974</v>
      </c>
      <c r="J69">
        <v>300</v>
      </c>
      <c r="K69">
        <v>0.48</v>
      </c>
      <c r="L69">
        <v>0.003011</v>
      </c>
      <c r="M69">
        <v>0.685</v>
      </c>
      <c r="N69">
        <v>1</v>
      </c>
      <c r="O69">
        <v>0</v>
      </c>
      <c r="P69">
        <v>0</v>
      </c>
      <c r="Q69" t="s">
        <v>32</v>
      </c>
      <c r="R69">
        <v>0</v>
      </c>
      <c r="S69">
        <v>284.333</v>
      </c>
      <c r="T69">
        <v>283.572</v>
      </c>
      <c r="U69">
        <v>284.477</v>
      </c>
      <c r="V69">
        <v>283.716</v>
      </c>
      <c r="W69">
        <v>4.277</v>
      </c>
      <c r="X69">
        <v>3.977</v>
      </c>
      <c r="Y69">
        <v>4.818</v>
      </c>
      <c r="Z69">
        <v>4.518</v>
      </c>
      <c r="AA69" t="s">
        <v>36</v>
      </c>
      <c r="AB69" t="s">
        <v>172</v>
      </c>
    </row>
    <row r="70" spans="1:28">
      <c r="A70" t="s">
        <v>171</v>
      </c>
      <c r="B70" t="s">
        <v>173</v>
      </c>
      <c r="C70">
        <v>299.19</v>
      </c>
      <c r="D70">
        <v>288.39</v>
      </c>
      <c r="E70">
        <v>288.12</v>
      </c>
      <c r="F70">
        <v>124072</v>
      </c>
      <c r="G70">
        <v>3.75949648148148</v>
      </c>
      <c r="H70">
        <v>22.974</v>
      </c>
      <c r="I70">
        <v>26.734</v>
      </c>
      <c r="J70">
        <v>300</v>
      </c>
      <c r="K70">
        <v>0.52</v>
      </c>
      <c r="L70">
        <v>0.003107</v>
      </c>
      <c r="M70">
        <v>0.72</v>
      </c>
      <c r="N70">
        <v>1</v>
      </c>
      <c r="O70">
        <v>0</v>
      </c>
      <c r="P70">
        <v>0</v>
      </c>
      <c r="Q70" t="s">
        <v>32</v>
      </c>
      <c r="R70">
        <v>0</v>
      </c>
      <c r="S70">
        <v>283.56</v>
      </c>
      <c r="T70">
        <v>282.63</v>
      </c>
      <c r="U70">
        <v>283.716</v>
      </c>
      <c r="V70">
        <v>282.786</v>
      </c>
      <c r="W70">
        <v>4.83</v>
      </c>
      <c r="X70">
        <v>4.53</v>
      </c>
      <c r="Y70">
        <v>5.49</v>
      </c>
      <c r="Z70">
        <v>5.19</v>
      </c>
      <c r="AA70" t="s">
        <v>36</v>
      </c>
      <c r="AB70" t="s">
        <v>174</v>
      </c>
    </row>
    <row r="71" spans="1:28">
      <c r="A71" t="s">
        <v>173</v>
      </c>
      <c r="B71" t="s">
        <v>162</v>
      </c>
      <c r="C71">
        <v>304.2</v>
      </c>
      <c r="D71">
        <v>288.12</v>
      </c>
      <c r="E71">
        <v>287.87</v>
      </c>
      <c r="F71">
        <v>179367</v>
      </c>
      <c r="G71">
        <v>5.43498618055555</v>
      </c>
      <c r="H71">
        <v>26.734</v>
      </c>
      <c r="I71">
        <v>32.169</v>
      </c>
      <c r="J71">
        <v>400</v>
      </c>
      <c r="K71">
        <v>0.44</v>
      </c>
      <c r="L71">
        <v>0.001727</v>
      </c>
      <c r="M71">
        <v>0.604</v>
      </c>
      <c r="N71">
        <v>1</v>
      </c>
      <c r="O71">
        <v>0</v>
      </c>
      <c r="P71">
        <v>0</v>
      </c>
      <c r="Q71" t="s">
        <v>32</v>
      </c>
      <c r="R71">
        <v>0</v>
      </c>
      <c r="S71">
        <v>282.53</v>
      </c>
      <c r="T71">
        <v>282.005</v>
      </c>
      <c r="U71">
        <v>282.706</v>
      </c>
      <c r="V71">
        <v>282.181</v>
      </c>
      <c r="W71">
        <v>5.59</v>
      </c>
      <c r="X71">
        <v>5.19</v>
      </c>
      <c r="Y71">
        <v>5.865</v>
      </c>
      <c r="Z71">
        <v>5.465</v>
      </c>
      <c r="AA71" t="s">
        <v>41</v>
      </c>
      <c r="AB71" t="s">
        <v>175</v>
      </c>
    </row>
    <row r="72" spans="1:28">
      <c r="A72" t="s">
        <v>162</v>
      </c>
      <c r="B72" t="s">
        <v>176</v>
      </c>
      <c r="C72">
        <v>268.37</v>
      </c>
      <c r="D72">
        <v>287.87</v>
      </c>
      <c r="E72">
        <v>287.67</v>
      </c>
      <c r="F72">
        <v>215922</v>
      </c>
      <c r="G72">
        <v>6.54263652777778</v>
      </c>
      <c r="H72">
        <v>258.837</v>
      </c>
      <c r="I72">
        <v>265.379</v>
      </c>
      <c r="J72">
        <v>1000</v>
      </c>
      <c r="K72">
        <v>0.49</v>
      </c>
      <c r="L72">
        <v>0.000609</v>
      </c>
      <c r="M72">
        <v>0.693</v>
      </c>
      <c r="N72">
        <v>1</v>
      </c>
      <c r="O72">
        <v>3.965</v>
      </c>
      <c r="P72">
        <v>0</v>
      </c>
      <c r="Q72" t="s">
        <v>32</v>
      </c>
      <c r="R72">
        <v>0</v>
      </c>
      <c r="S72">
        <v>285.37</v>
      </c>
      <c r="T72">
        <v>285.207</v>
      </c>
      <c r="U72">
        <v>285.86</v>
      </c>
      <c r="V72">
        <v>285.697</v>
      </c>
      <c r="W72">
        <v>2.5</v>
      </c>
      <c r="X72">
        <v>1.5</v>
      </c>
      <c r="Y72">
        <v>2.463</v>
      </c>
      <c r="Z72">
        <v>1.463</v>
      </c>
      <c r="AA72" t="s">
        <v>41</v>
      </c>
      <c r="AB72" t="s">
        <v>177</v>
      </c>
    </row>
    <row r="73" spans="1:28">
      <c r="A73" t="s">
        <v>176</v>
      </c>
      <c r="B73" t="s">
        <v>178</v>
      </c>
      <c r="C73">
        <v>266.38</v>
      </c>
      <c r="D73">
        <v>287.67</v>
      </c>
      <c r="E73">
        <v>287.47</v>
      </c>
      <c r="F73">
        <v>228710</v>
      </c>
      <c r="G73">
        <v>6.93012476851852</v>
      </c>
      <c r="H73">
        <v>265.379</v>
      </c>
      <c r="I73">
        <v>272.309</v>
      </c>
      <c r="J73">
        <v>1100</v>
      </c>
      <c r="K73">
        <v>0.43</v>
      </c>
      <c r="L73">
        <v>0.00061</v>
      </c>
      <c r="M73">
        <v>0.697</v>
      </c>
      <c r="N73">
        <v>1</v>
      </c>
      <c r="O73">
        <v>0</v>
      </c>
      <c r="P73">
        <v>0</v>
      </c>
      <c r="Q73" t="s">
        <v>32</v>
      </c>
      <c r="R73">
        <v>0</v>
      </c>
      <c r="S73">
        <v>285.107</v>
      </c>
      <c r="T73">
        <v>284.945</v>
      </c>
      <c r="U73">
        <v>285.58</v>
      </c>
      <c r="V73">
        <v>285.418</v>
      </c>
      <c r="W73">
        <v>2.563</v>
      </c>
      <c r="X73">
        <v>1.463</v>
      </c>
      <c r="Y73">
        <v>2.525</v>
      </c>
      <c r="Z73">
        <v>1.425</v>
      </c>
      <c r="AA73" t="s">
        <v>41</v>
      </c>
      <c r="AB73" t="s">
        <v>179</v>
      </c>
    </row>
    <row r="74" spans="1:28">
      <c r="A74" t="s">
        <v>178</v>
      </c>
      <c r="B74" t="s">
        <v>180</v>
      </c>
      <c r="C74">
        <v>274.07</v>
      </c>
      <c r="D74">
        <v>287.47</v>
      </c>
      <c r="E74">
        <v>287.28</v>
      </c>
      <c r="F74">
        <v>114349</v>
      </c>
      <c r="G74">
        <v>3.4648805787037</v>
      </c>
      <c r="H74">
        <v>272.309</v>
      </c>
      <c r="I74">
        <v>275.774</v>
      </c>
      <c r="J74">
        <v>1100</v>
      </c>
      <c r="K74">
        <v>0.43</v>
      </c>
      <c r="L74">
        <v>0.000625</v>
      </c>
      <c r="M74">
        <v>0.706</v>
      </c>
      <c r="N74">
        <v>1</v>
      </c>
      <c r="O74">
        <v>0</v>
      </c>
      <c r="P74">
        <v>0</v>
      </c>
      <c r="Q74" t="s">
        <v>32</v>
      </c>
      <c r="R74">
        <v>0</v>
      </c>
      <c r="S74">
        <v>284.945</v>
      </c>
      <c r="T74">
        <v>284.774</v>
      </c>
      <c r="U74">
        <v>285.418</v>
      </c>
      <c r="V74">
        <v>285.247</v>
      </c>
      <c r="W74">
        <v>2.525</v>
      </c>
      <c r="X74">
        <v>1.425</v>
      </c>
      <c r="Y74">
        <v>2.506</v>
      </c>
      <c r="Z74">
        <v>1.406</v>
      </c>
      <c r="AA74" t="s">
        <v>36</v>
      </c>
      <c r="AB74" t="s">
        <v>181</v>
      </c>
    </row>
    <row r="75" spans="1:28">
      <c r="A75" t="s">
        <v>180</v>
      </c>
      <c r="B75" t="s">
        <v>182</v>
      </c>
      <c r="C75">
        <v>303.54</v>
      </c>
      <c r="D75">
        <v>287.28</v>
      </c>
      <c r="E75">
        <v>288.07</v>
      </c>
      <c r="F75">
        <v>240028</v>
      </c>
      <c r="G75">
        <v>7.27307064814815</v>
      </c>
      <c r="H75">
        <v>275.774</v>
      </c>
      <c r="I75">
        <v>283.047</v>
      </c>
      <c r="J75">
        <v>1100</v>
      </c>
      <c r="K75">
        <v>0.44</v>
      </c>
      <c r="L75">
        <v>0.000607</v>
      </c>
      <c r="M75">
        <v>0.703</v>
      </c>
      <c r="N75">
        <v>1</v>
      </c>
      <c r="O75">
        <v>0</v>
      </c>
      <c r="P75">
        <v>0</v>
      </c>
      <c r="Q75" t="s">
        <v>32</v>
      </c>
      <c r="R75">
        <v>0</v>
      </c>
      <c r="S75">
        <v>284.763</v>
      </c>
      <c r="T75">
        <v>284.579</v>
      </c>
      <c r="U75">
        <v>285.247</v>
      </c>
      <c r="V75">
        <v>285.063</v>
      </c>
      <c r="W75">
        <v>2.517</v>
      </c>
      <c r="X75">
        <v>1.417</v>
      </c>
      <c r="Y75">
        <v>3.491</v>
      </c>
      <c r="Z75">
        <v>2.391</v>
      </c>
      <c r="AA75" t="s">
        <v>36</v>
      </c>
      <c r="AB75" t="s">
        <v>183</v>
      </c>
    </row>
    <row r="76" spans="1:28">
      <c r="A76" t="s">
        <v>182</v>
      </c>
      <c r="B76" t="s">
        <v>127</v>
      </c>
      <c r="C76">
        <v>814.28</v>
      </c>
      <c r="D76">
        <v>288.07</v>
      </c>
      <c r="E76">
        <v>287.356</v>
      </c>
      <c r="F76">
        <v>0</v>
      </c>
      <c r="G76">
        <v>0</v>
      </c>
      <c r="H76">
        <v>283.047</v>
      </c>
      <c r="I76">
        <v>283.047</v>
      </c>
      <c r="J76">
        <v>1100</v>
      </c>
      <c r="K76">
        <v>0.44</v>
      </c>
      <c r="L76">
        <v>0.000607</v>
      </c>
      <c r="M76">
        <v>0.703</v>
      </c>
      <c r="N76">
        <v>1</v>
      </c>
      <c r="O76">
        <v>0</v>
      </c>
      <c r="P76">
        <v>0</v>
      </c>
      <c r="Q76">
        <v>0.53</v>
      </c>
      <c r="R76">
        <v>0</v>
      </c>
      <c r="S76">
        <v>284.579</v>
      </c>
      <c r="T76">
        <v>284.085</v>
      </c>
      <c r="U76">
        <v>285.063</v>
      </c>
      <c r="V76">
        <v>284.569</v>
      </c>
      <c r="W76">
        <v>3.491</v>
      </c>
      <c r="X76">
        <v>2.391</v>
      </c>
      <c r="Y76">
        <v>3.271</v>
      </c>
      <c r="Z76">
        <v>2.171</v>
      </c>
      <c r="AA76" t="s">
        <v>36</v>
      </c>
      <c r="AB76" t="s">
        <v>184</v>
      </c>
    </row>
    <row r="77" spans="1:28">
      <c r="A77" t="s">
        <v>185</v>
      </c>
      <c r="B77" t="s">
        <v>186</v>
      </c>
      <c r="C77">
        <v>284.36</v>
      </c>
      <c r="D77">
        <v>289.43</v>
      </c>
      <c r="E77">
        <v>289.273</v>
      </c>
      <c r="F77">
        <v>396139</v>
      </c>
      <c r="G77">
        <v>12.0033784953704</v>
      </c>
      <c r="H77">
        <v>0</v>
      </c>
      <c r="I77">
        <v>12.003</v>
      </c>
      <c r="J77">
        <v>300</v>
      </c>
      <c r="K77">
        <v>0.32</v>
      </c>
      <c r="L77">
        <v>0.003634</v>
      </c>
      <c r="M77">
        <v>0.616</v>
      </c>
      <c r="N77">
        <v>1</v>
      </c>
      <c r="O77">
        <v>0</v>
      </c>
      <c r="P77">
        <v>0</v>
      </c>
      <c r="Q77" t="s">
        <v>32</v>
      </c>
      <c r="R77">
        <v>0</v>
      </c>
      <c r="S77">
        <v>287.63</v>
      </c>
      <c r="T77">
        <v>286.597</v>
      </c>
      <c r="U77">
        <v>287.726</v>
      </c>
      <c r="V77">
        <v>286.693</v>
      </c>
      <c r="W77">
        <v>1.8</v>
      </c>
      <c r="X77">
        <v>1.5</v>
      </c>
      <c r="Y77">
        <v>2.676</v>
      </c>
      <c r="Z77">
        <v>2.376</v>
      </c>
      <c r="AA77" t="s">
        <v>33</v>
      </c>
      <c r="AB77" t="s">
        <v>187</v>
      </c>
    </row>
    <row r="78" spans="1:28">
      <c r="A78" t="s">
        <v>186</v>
      </c>
      <c r="B78" t="s">
        <v>188</v>
      </c>
      <c r="C78">
        <v>274.17</v>
      </c>
      <c r="D78">
        <v>289.273</v>
      </c>
      <c r="E78">
        <v>289.123</v>
      </c>
      <c r="F78">
        <v>165877</v>
      </c>
      <c r="G78">
        <v>5.02622668981481</v>
      </c>
      <c r="H78">
        <v>12.003</v>
      </c>
      <c r="I78">
        <v>17.03</v>
      </c>
      <c r="J78">
        <v>300</v>
      </c>
      <c r="K78">
        <v>0.4</v>
      </c>
      <c r="L78">
        <v>0.003167</v>
      </c>
      <c r="M78">
        <v>0.645</v>
      </c>
      <c r="N78">
        <v>1</v>
      </c>
      <c r="O78">
        <v>0</v>
      </c>
      <c r="P78">
        <v>0</v>
      </c>
      <c r="Q78" t="s">
        <v>32</v>
      </c>
      <c r="R78">
        <v>0</v>
      </c>
      <c r="S78">
        <v>286.573</v>
      </c>
      <c r="T78">
        <v>285.705</v>
      </c>
      <c r="U78">
        <v>286.693</v>
      </c>
      <c r="V78">
        <v>285.825</v>
      </c>
      <c r="W78">
        <v>2.7</v>
      </c>
      <c r="X78">
        <v>2.4</v>
      </c>
      <c r="Y78">
        <v>3.418</v>
      </c>
      <c r="Z78">
        <v>3.118</v>
      </c>
      <c r="AA78" t="s">
        <v>36</v>
      </c>
      <c r="AB78" t="s">
        <v>189</v>
      </c>
    </row>
    <row r="79" spans="1:28">
      <c r="A79" t="s">
        <v>188</v>
      </c>
      <c r="B79" t="s">
        <v>190</v>
      </c>
      <c r="C79">
        <v>288.84</v>
      </c>
      <c r="D79">
        <v>289.123</v>
      </c>
      <c r="E79">
        <v>288.845</v>
      </c>
      <c r="F79">
        <v>176736</v>
      </c>
      <c r="G79">
        <v>5.35526444444444</v>
      </c>
      <c r="H79">
        <v>17.03</v>
      </c>
      <c r="I79">
        <v>22.385</v>
      </c>
      <c r="J79">
        <v>300</v>
      </c>
      <c r="K79">
        <v>0.47</v>
      </c>
      <c r="L79">
        <v>0.003075</v>
      </c>
      <c r="M79">
        <v>0.686</v>
      </c>
      <c r="N79">
        <v>1</v>
      </c>
      <c r="O79">
        <v>0</v>
      </c>
      <c r="P79">
        <v>0</v>
      </c>
      <c r="Q79" t="s">
        <v>32</v>
      </c>
      <c r="R79">
        <v>0</v>
      </c>
      <c r="S79">
        <v>285.684</v>
      </c>
      <c r="T79">
        <v>284.796</v>
      </c>
      <c r="U79">
        <v>285.825</v>
      </c>
      <c r="V79">
        <v>284.937</v>
      </c>
      <c r="W79">
        <v>3.439</v>
      </c>
      <c r="X79">
        <v>3.139</v>
      </c>
      <c r="Y79">
        <v>4.049</v>
      </c>
      <c r="Z79">
        <v>3.749</v>
      </c>
      <c r="AA79" t="s">
        <v>36</v>
      </c>
      <c r="AB79" t="s">
        <v>191</v>
      </c>
    </row>
    <row r="80" spans="1:28">
      <c r="A80" t="s">
        <v>190</v>
      </c>
      <c r="B80" t="s">
        <v>192</v>
      </c>
      <c r="C80">
        <v>266.19</v>
      </c>
      <c r="D80">
        <v>288.845</v>
      </c>
      <c r="E80">
        <v>288.711</v>
      </c>
      <c r="F80">
        <v>160672</v>
      </c>
      <c r="G80">
        <v>4.86851037037037</v>
      </c>
      <c r="H80">
        <v>22.385</v>
      </c>
      <c r="I80">
        <v>27.253</v>
      </c>
      <c r="J80">
        <v>300</v>
      </c>
      <c r="K80">
        <v>0.53</v>
      </c>
      <c r="L80">
        <v>0.003031</v>
      </c>
      <c r="M80">
        <v>0.716</v>
      </c>
      <c r="N80">
        <v>1</v>
      </c>
      <c r="O80">
        <v>0</v>
      </c>
      <c r="P80">
        <v>0</v>
      </c>
      <c r="Q80" t="s">
        <v>32</v>
      </c>
      <c r="R80">
        <v>0</v>
      </c>
      <c r="S80">
        <v>284.778</v>
      </c>
      <c r="T80">
        <v>283.971</v>
      </c>
      <c r="U80">
        <v>284.937</v>
      </c>
      <c r="V80">
        <v>284.13</v>
      </c>
      <c r="W80">
        <v>4.067</v>
      </c>
      <c r="X80">
        <v>3.767</v>
      </c>
      <c r="Y80">
        <v>4.74</v>
      </c>
      <c r="Z80">
        <v>4.44</v>
      </c>
      <c r="AA80" t="s">
        <v>36</v>
      </c>
      <c r="AB80" t="s">
        <v>193</v>
      </c>
    </row>
    <row r="81" spans="1:28">
      <c r="A81" t="s">
        <v>192</v>
      </c>
      <c r="B81" t="s">
        <v>194</v>
      </c>
      <c r="C81">
        <v>288.72</v>
      </c>
      <c r="D81">
        <v>288.711</v>
      </c>
      <c r="E81">
        <v>288.459</v>
      </c>
      <c r="F81">
        <v>175023</v>
      </c>
      <c r="G81">
        <v>5.30335895833333</v>
      </c>
      <c r="H81">
        <v>27.253</v>
      </c>
      <c r="I81">
        <v>32.557</v>
      </c>
      <c r="J81">
        <v>400</v>
      </c>
      <c r="K81">
        <v>0.44</v>
      </c>
      <c r="L81">
        <v>0.001769</v>
      </c>
      <c r="M81">
        <v>0.611</v>
      </c>
      <c r="N81">
        <v>1</v>
      </c>
      <c r="O81">
        <v>0</v>
      </c>
      <c r="P81">
        <v>0</v>
      </c>
      <c r="Q81" t="s">
        <v>32</v>
      </c>
      <c r="R81">
        <v>0</v>
      </c>
      <c r="S81">
        <v>283.871</v>
      </c>
      <c r="T81">
        <v>283.36</v>
      </c>
      <c r="U81">
        <v>284.047</v>
      </c>
      <c r="V81">
        <v>283.536</v>
      </c>
      <c r="W81">
        <v>4.84</v>
      </c>
      <c r="X81">
        <v>4.44</v>
      </c>
      <c r="Y81">
        <v>5.099</v>
      </c>
      <c r="Z81">
        <v>4.699</v>
      </c>
      <c r="AA81" t="s">
        <v>41</v>
      </c>
      <c r="AB81" t="s">
        <v>195</v>
      </c>
    </row>
    <row r="82" spans="1:28">
      <c r="A82" t="s">
        <v>194</v>
      </c>
      <c r="B82" t="s">
        <v>196</v>
      </c>
      <c r="C82">
        <v>295.87</v>
      </c>
      <c r="D82">
        <v>288.459</v>
      </c>
      <c r="E82">
        <v>288.205</v>
      </c>
      <c r="F82">
        <v>168402</v>
      </c>
      <c r="G82">
        <v>5.10273652777778</v>
      </c>
      <c r="H82">
        <v>32.557</v>
      </c>
      <c r="I82">
        <v>37.659</v>
      </c>
      <c r="J82">
        <v>400</v>
      </c>
      <c r="K82">
        <v>0.49</v>
      </c>
      <c r="L82">
        <v>0.001625</v>
      </c>
      <c r="M82">
        <v>0.615</v>
      </c>
      <c r="N82">
        <v>1</v>
      </c>
      <c r="O82">
        <v>0</v>
      </c>
      <c r="P82">
        <v>0</v>
      </c>
      <c r="Q82" t="s">
        <v>32</v>
      </c>
      <c r="R82">
        <v>0</v>
      </c>
      <c r="S82">
        <v>283.34</v>
      </c>
      <c r="T82">
        <v>282.859</v>
      </c>
      <c r="U82">
        <v>283.536</v>
      </c>
      <c r="V82">
        <v>283.055</v>
      </c>
      <c r="W82">
        <v>5.119</v>
      </c>
      <c r="X82">
        <v>4.719</v>
      </c>
      <c r="Y82">
        <v>5.346</v>
      </c>
      <c r="Z82">
        <v>4.946</v>
      </c>
      <c r="AA82" t="s">
        <v>36</v>
      </c>
      <c r="AB82" t="s">
        <v>197</v>
      </c>
    </row>
    <row r="83" spans="1:28">
      <c r="A83" t="s">
        <v>196</v>
      </c>
      <c r="B83" t="s">
        <v>198</v>
      </c>
      <c r="C83">
        <v>283.27</v>
      </c>
      <c r="D83">
        <v>288.205</v>
      </c>
      <c r="E83">
        <v>287.974</v>
      </c>
      <c r="F83">
        <v>165237</v>
      </c>
      <c r="G83">
        <v>5.00683409722222</v>
      </c>
      <c r="H83">
        <v>37.659</v>
      </c>
      <c r="I83">
        <v>42.666</v>
      </c>
      <c r="J83">
        <v>400</v>
      </c>
      <c r="K83">
        <v>0.54</v>
      </c>
      <c r="L83">
        <v>0.001506</v>
      </c>
      <c r="M83">
        <v>0.616</v>
      </c>
      <c r="N83">
        <v>1</v>
      </c>
      <c r="O83">
        <v>0</v>
      </c>
      <c r="P83">
        <v>0</v>
      </c>
      <c r="Q83" t="s">
        <v>32</v>
      </c>
      <c r="R83">
        <v>0</v>
      </c>
      <c r="S83">
        <v>282.839</v>
      </c>
      <c r="T83">
        <v>282.412</v>
      </c>
      <c r="U83">
        <v>283.055</v>
      </c>
      <c r="V83">
        <v>282.628</v>
      </c>
      <c r="W83">
        <v>5.366</v>
      </c>
      <c r="X83">
        <v>4.966</v>
      </c>
      <c r="Y83">
        <v>5.562</v>
      </c>
      <c r="Z83">
        <v>5.162</v>
      </c>
      <c r="AA83" t="s">
        <v>36</v>
      </c>
      <c r="AB83" t="s">
        <v>199</v>
      </c>
    </row>
    <row r="84" spans="1:28">
      <c r="A84" t="s">
        <v>198</v>
      </c>
      <c r="B84" t="s">
        <v>200</v>
      </c>
      <c r="C84">
        <v>270.85</v>
      </c>
      <c r="D84">
        <v>287.974</v>
      </c>
      <c r="E84">
        <v>287.779</v>
      </c>
      <c r="F84">
        <v>166483</v>
      </c>
      <c r="G84">
        <v>5.04458905092593</v>
      </c>
      <c r="H84">
        <v>42.666</v>
      </c>
      <c r="I84">
        <v>47.711</v>
      </c>
      <c r="J84">
        <v>500</v>
      </c>
      <c r="K84">
        <v>0.42</v>
      </c>
      <c r="L84">
        <v>0.001366</v>
      </c>
      <c r="M84">
        <v>0.61</v>
      </c>
      <c r="N84">
        <v>1</v>
      </c>
      <c r="O84">
        <v>3.162</v>
      </c>
      <c r="P84">
        <v>0</v>
      </c>
      <c r="Q84" t="s">
        <v>32</v>
      </c>
      <c r="R84">
        <v>0</v>
      </c>
      <c r="S84">
        <v>285.474</v>
      </c>
      <c r="T84">
        <v>285.104</v>
      </c>
      <c r="U84">
        <v>285.684</v>
      </c>
      <c r="V84">
        <v>285.314</v>
      </c>
      <c r="W84">
        <v>2.5</v>
      </c>
      <c r="X84">
        <v>2</v>
      </c>
      <c r="Y84">
        <v>2.675</v>
      </c>
      <c r="Z84">
        <v>2.175</v>
      </c>
      <c r="AA84" t="s">
        <v>41</v>
      </c>
      <c r="AB84" t="s">
        <v>201</v>
      </c>
    </row>
    <row r="85" spans="1:28">
      <c r="A85" t="s">
        <v>200</v>
      </c>
      <c r="B85" t="s">
        <v>202</v>
      </c>
      <c r="C85">
        <v>271.21</v>
      </c>
      <c r="D85">
        <v>287.779</v>
      </c>
      <c r="E85">
        <v>287.597</v>
      </c>
      <c r="F85">
        <v>164032</v>
      </c>
      <c r="G85">
        <v>4.97032148148148</v>
      </c>
      <c r="H85">
        <v>47.711</v>
      </c>
      <c r="I85">
        <v>52.681</v>
      </c>
      <c r="J85">
        <v>500</v>
      </c>
      <c r="K85">
        <v>0.45</v>
      </c>
      <c r="L85">
        <v>0.001301</v>
      </c>
      <c r="M85">
        <v>0.615</v>
      </c>
      <c r="N85">
        <v>1</v>
      </c>
      <c r="O85">
        <v>0</v>
      </c>
      <c r="P85">
        <v>0</v>
      </c>
      <c r="Q85" t="s">
        <v>32</v>
      </c>
      <c r="R85">
        <v>0</v>
      </c>
      <c r="S85">
        <v>285.089</v>
      </c>
      <c r="T85">
        <v>284.736</v>
      </c>
      <c r="U85">
        <v>285.314</v>
      </c>
      <c r="V85">
        <v>284.961</v>
      </c>
      <c r="W85">
        <v>2.69</v>
      </c>
      <c r="X85">
        <v>2.19</v>
      </c>
      <c r="Y85">
        <v>2.861</v>
      </c>
      <c r="Z85">
        <v>2.361</v>
      </c>
      <c r="AA85" t="s">
        <v>36</v>
      </c>
      <c r="AB85" t="s">
        <v>203</v>
      </c>
    </row>
    <row r="86" spans="1:28">
      <c r="A86" t="s">
        <v>202</v>
      </c>
      <c r="B86" t="s">
        <v>127</v>
      </c>
      <c r="C86">
        <v>351.54</v>
      </c>
      <c r="D86">
        <v>287.597</v>
      </c>
      <c r="E86">
        <v>287.356</v>
      </c>
      <c r="F86">
        <v>169759</v>
      </c>
      <c r="G86">
        <v>5.14385488425926</v>
      </c>
      <c r="H86">
        <v>52.681</v>
      </c>
      <c r="I86">
        <v>57.825</v>
      </c>
      <c r="J86">
        <v>500</v>
      </c>
      <c r="K86">
        <v>0.48</v>
      </c>
      <c r="L86">
        <v>0.001251</v>
      </c>
      <c r="M86">
        <v>0.621</v>
      </c>
      <c r="N86">
        <v>1</v>
      </c>
      <c r="O86">
        <v>0</v>
      </c>
      <c r="P86">
        <v>0</v>
      </c>
      <c r="Q86">
        <v>0.482</v>
      </c>
      <c r="R86">
        <v>0</v>
      </c>
      <c r="S86">
        <v>284.721</v>
      </c>
      <c r="T86">
        <v>284.281</v>
      </c>
      <c r="U86">
        <v>284.961</v>
      </c>
      <c r="V86">
        <v>284.521</v>
      </c>
      <c r="W86">
        <v>2.876</v>
      </c>
      <c r="X86">
        <v>2.376</v>
      </c>
      <c r="Y86">
        <v>3.075</v>
      </c>
      <c r="Z86">
        <v>2.575</v>
      </c>
      <c r="AA86" t="s">
        <v>36</v>
      </c>
      <c r="AB86" t="s">
        <v>204</v>
      </c>
    </row>
    <row r="87" spans="1:28">
      <c r="A87" t="s">
        <v>127</v>
      </c>
      <c r="B87" t="s">
        <v>205</v>
      </c>
      <c r="C87">
        <v>755.55</v>
      </c>
      <c r="D87">
        <v>287.356</v>
      </c>
      <c r="E87">
        <v>286.8</v>
      </c>
      <c r="F87">
        <v>0</v>
      </c>
      <c r="G87">
        <v>0</v>
      </c>
      <c r="H87">
        <v>563.214</v>
      </c>
      <c r="I87">
        <v>563.214</v>
      </c>
      <c r="J87">
        <v>1400</v>
      </c>
      <c r="K87">
        <v>0.47</v>
      </c>
      <c r="L87">
        <v>0.000526</v>
      </c>
      <c r="M87">
        <v>0.792</v>
      </c>
      <c r="N87">
        <v>1</v>
      </c>
      <c r="O87">
        <v>0</v>
      </c>
      <c r="P87">
        <v>0</v>
      </c>
      <c r="Q87" t="s">
        <v>32</v>
      </c>
      <c r="R87">
        <v>0</v>
      </c>
      <c r="S87">
        <v>283.381</v>
      </c>
      <c r="T87">
        <v>282.984</v>
      </c>
      <c r="U87">
        <v>284.039</v>
      </c>
      <c r="V87">
        <v>283.642</v>
      </c>
      <c r="W87">
        <v>3.975</v>
      </c>
      <c r="X87">
        <v>2.575</v>
      </c>
      <c r="Y87">
        <v>3.816</v>
      </c>
      <c r="Z87">
        <v>2.416</v>
      </c>
      <c r="AA87" t="s">
        <v>41</v>
      </c>
      <c r="AB87" t="s">
        <v>206</v>
      </c>
    </row>
    <row r="88" spans="1:28">
      <c r="A88" t="s">
        <v>207</v>
      </c>
      <c r="B88" t="s">
        <v>32</v>
      </c>
      <c r="C88" t="s">
        <v>32</v>
      </c>
      <c r="D88" t="s">
        <v>32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32</v>
      </c>
      <c r="K88" t="s">
        <v>32</v>
      </c>
      <c r="L88" t="s">
        <v>32</v>
      </c>
      <c r="M88" t="s">
        <v>32</v>
      </c>
      <c r="N88" t="s">
        <v>32</v>
      </c>
      <c r="O88" t="s">
        <v>32</v>
      </c>
      <c r="P88" t="s">
        <v>32</v>
      </c>
      <c r="Q88" t="s">
        <v>32</v>
      </c>
      <c r="R88">
        <v>0</v>
      </c>
      <c r="S88" t="s">
        <v>32</v>
      </c>
      <c r="T88" t="s">
        <v>32</v>
      </c>
      <c r="U88" t="s">
        <v>32</v>
      </c>
      <c r="V88" t="s">
        <v>32</v>
      </c>
      <c r="W88" t="s">
        <v>32</v>
      </c>
      <c r="X88" t="s">
        <v>32</v>
      </c>
      <c r="Y88" t="s">
        <v>32</v>
      </c>
      <c r="Z88" t="s">
        <v>32</v>
      </c>
      <c r="AA88" t="s">
        <v>32</v>
      </c>
      <c r="AB88" t="s">
        <v>32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"/>
    </sheetView>
  </sheetViews>
  <sheetFormatPr defaultColWidth="9" defaultRowHeight="13.5" outlineLevelCol="1"/>
  <sheetData>
    <row r="1" spans="1:2">
      <c r="A1" t="s">
        <v>11</v>
      </c>
      <c r="B1" t="s">
        <v>208</v>
      </c>
    </row>
    <row r="2" spans="1:2">
      <c r="A2">
        <v>300</v>
      </c>
      <c r="B2">
        <v>8744.5</v>
      </c>
    </row>
    <row r="3" spans="1:2">
      <c r="A3">
        <v>400</v>
      </c>
      <c r="B3">
        <v>7797.94</v>
      </c>
    </row>
    <row r="4" spans="1:2">
      <c r="A4">
        <v>500</v>
      </c>
      <c r="B4">
        <v>5113.62</v>
      </c>
    </row>
    <row r="5" spans="1:2">
      <c r="A5">
        <v>600</v>
      </c>
      <c r="B5">
        <v>4003.78</v>
      </c>
    </row>
    <row r="6" spans="1:2">
      <c r="A6">
        <v>800</v>
      </c>
      <c r="B6">
        <v>3589.91</v>
      </c>
    </row>
    <row r="7" spans="1:2">
      <c r="A7">
        <v>1000</v>
      </c>
      <c r="B7">
        <v>2508.52</v>
      </c>
    </row>
    <row r="8" spans="1:2">
      <c r="A8">
        <v>1100</v>
      </c>
      <c r="B8">
        <v>1658.27</v>
      </c>
    </row>
    <row r="9" spans="1:2">
      <c r="A9">
        <v>1400</v>
      </c>
      <c r="B9">
        <v>755.55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Sheet5</vt:lpstr>
      <vt:lpstr>计算结果</vt:lpstr>
      <vt:lpstr>管道统计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杨元鑫</cp:lastModifiedBy>
  <dcterms:created xsi:type="dcterms:W3CDTF">2023-05-12T11:15:00Z</dcterms:created>
  <dcterms:modified xsi:type="dcterms:W3CDTF">2026-05-17T04:27:44Z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0FFF3BDC7120452A95A385E858855DEB_12</vt:lpwstr>
  </property>
  <property fmtid="{D5CDD505-2E9C-101B-9397-08002B2CF9AE}" pid="4" name="CalculationRule">
    <vt:i4>0</vt:i4>
  </property>
</Properties>
</file>