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Sheet1" sheetId="1" r:id="rId1"/>
    <sheet name="计算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<sst xmlns="http://schemas.openxmlformats.org/spreadsheetml/2006/main" count="53" uniqueCount="35">
  <si>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起点编号</t>
  </si>
  <si>
    <t>终点编号</t>
  </si>
  <si>
    <t>长度(m)</t>
  </si>
  <si>
    <t>起点地面标高(m)</t>
  </si>
  <si>
    <t>终点地面标高(m)</t>
  </si>
  <si>
    <t>本段汇水面积(m2)</t>
  </si>
  <si>
    <t>Y1</t>
  </si>
  <si>
    <t>Y2</t>
  </si>
  <si>
    <t>Y3</t>
  </si>
  <si>
    <t>Y4</t>
  </si>
  <si>
    <t>Y5</t>
  </si>
  <si>
    <t>Y6</t>
  </si>
  <si>
    <t>本段汇水面积(m²)</t>
  </si>
  <si>
    <t>累计汇水面积(m²)</t>
  </si>
  <si>
    <t>汇流时间(min)</t>
  </si>
  <si>
    <t>设计流量(L/s)</t>
  </si>
  <si>
    <t>管径(mm)</t>
  </si>
  <si>
    <t>充满度</t>
  </si>
  <si>
    <t>坡度</t>
  </si>
  <si>
    <t>流速(m/s)</t>
  </si>
  <si>
    <t>起点管内底(m)</t>
  </si>
  <si>
    <t>终点管内底(m)</t>
  </si>
  <si>
    <t>起点水面(m)</t>
  </si>
  <si>
    <t>终点水面(m)</t>
  </si>
  <si>
    <t>起点埋深(m)</t>
  </si>
  <si>
    <t>终点埋深(m)</t>
  </si>
  <si>
    <t>连接方式</t>
  </si>
  <si>
    <t>来源</t>
  </si>
  <si>
    <t>起始管道</t>
  </si>
  <si>
    <t>Sheet1_第2行</t>
  </si>
  <si>
    <t>水面平接</t>
  </si>
  <si>
    <t>Sheet1_第3行</t>
  </si>
  <si>
    <t>Sheet1_第4行</t>
  </si>
  <si>
    <t>Sheet1_第5行</t>
  </si>
  <si>
    <t>Sheet1_第6行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</si>
</sst>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.5"/>
      <color theme="1"/>
      <name val="宋体"/>
      <charset val="134"/>
    </font>
    <font>
      <sz val="11.2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6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60" zoomScaleNormal="160" workbookViewId="0">
      <selection activeCell="F6" sqref="F6"/>
    </sheetView>
  </sheetViews>
  <sheetFormatPr defaultColWidth="9" defaultRowHeight="13.5" outlineLevelRow="5" outlineLevelCol="7"/>
  <cols>
    <col min="4" max="4" width="23.125" style="1" customWidth="1"/>
    <col min="5" max="5" width="24.5" style="1" customWidth="1"/>
    <col min="6" max="6" width="24.375" style="1" customWidth="1"/>
    <col min="7" max="7" width="19.8416666666667" style="2" customWidth="1"/>
    <col min="8" max="8" width="19.2166666666667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/>
      <c r="H1" s="4"/>
    </row>
    <row r="2" spans="1:8">
      <c r="A2" t="s">
        <v>6</v>
      </c>
      <c r="B2" t="str">
        <f>A3</f>
        <v>Y2</v>
      </c>
      <c r="C2">
        <v>386.61</v>
      </c>
      <c r="D2">
        <v>290.365</v>
      </c>
      <c r="E2">
        <f>D3</f>
        <v>290.091</v>
      </c>
      <c r="F2">
        <f>574316/2+990865</f>
        <v>1278023</v>
      </c>
    </row>
    <row r="3" spans="1:8">
      <c r="A3" t="s">
        <v>7</v>
      </c>
      <c r="B3" t="str">
        <f>A4</f>
        <v>Y3</v>
      </c>
      <c r="C3">
        <v>452.29</v>
      </c>
      <c r="D3">
        <v>290.091</v>
      </c>
      <c r="E3">
        <f>D4</f>
        <v>289.703</v>
      </c>
      <c r="F3">
        <f>574316/2</f>
        <v>287158</v>
      </c>
    </row>
    <row r="4" spans="1:8">
      <c r="A4" t="s">
        <v>8</v>
      </c>
      <c r="B4" t="str">
        <f>A5</f>
        <v>Y4</v>
      </c>
      <c r="C4">
        <v>629.99</v>
      </c>
      <c r="D4">
        <v>289.703</v>
      </c>
      <c r="E4">
        <f>D5</f>
        <v>289.286</v>
      </c>
      <c r="F4">
        <f>449201</f>
        <v>449201</v>
      </c>
    </row>
    <row r="5" spans="1:8">
      <c r="A5" t="s">
        <v>9</v>
      </c>
      <c r="B5" t="str">
        <f>A6</f>
        <v>Y5</v>
      </c>
      <c r="C5">
        <v>546.94</v>
      </c>
      <c r="D5">
        <v>289.286</v>
      </c>
      <c r="E5">
        <f>D6</f>
        <v>288.814</v>
      </c>
      <c r="F5">
        <f>241199+183530</f>
        <v>424729</v>
      </c>
    </row>
    <row r="6" spans="1:8">
      <c r="A6" t="s">
        <v>10</v>
      </c>
      <c r="B6" t="s">
        <v>11</v>
      </c>
      <c r="C6">
        <v>594.59</v>
      </c>
      <c r="D6">
        <v>288.814</v>
      </c>
      <c r="E6">
        <v>288.457</v>
      </c>
      <c r="F6">
        <f>470340</f>
        <v>470340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selection activeCell="S6" sqref="S6"/>
    </sheetView>
  </sheetViews>
  <sheetFormatPr defaultColWidth="9" defaultRowHeight="13.5" outlineLevelRow="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</row>
    <row r="2" spans="1:21">
      <c r="A2" t="s">
        <v>6</v>
      </c>
      <c r="B2" t="s">
        <v>7</v>
      </c>
      <c r="C2">
        <v>386.61</v>
      </c>
      <c r="D2">
        <v>290.365</v>
      </c>
      <c r="E2">
        <v>290.091</v>
      </c>
      <c r="F2">
        <v>1278023</v>
      </c>
      <c r="G2">
        <v>1278023</v>
      </c>
      <c r="H2">
        <v>11.77</v>
      </c>
      <c r="I2">
        <v>27049.676</v>
      </c>
      <c r="J2">
        <v>1500</v>
      </c>
      <c r="K2">
        <v>1</v>
      </c>
      <c r="L2">
        <v>0.001403</v>
      </c>
      <c r="M2">
        <v>1.392</v>
      </c>
      <c r="N2">
        <v>288.865</v>
      </c>
      <c r="O2">
        <v>288.323</v>
      </c>
      <c r="P2">
        <v>290.365</v>
      </c>
      <c r="Q2">
        <v>289.823</v>
      </c>
      <c r="R2">
        <v>1.5</v>
      </c>
      <c r="S2">
        <v>1.768</v>
      </c>
      <c r="T2" t="s">
        <v>28</v>
      </c>
      <c r="U2" t="s">
        <v>29</v>
      </c>
    </row>
    <row r="3" spans="1:21">
      <c r="A3" t="s">
        <v>7</v>
      </c>
      <c r="B3" t="s">
        <v>8</v>
      </c>
      <c r="C3">
        <v>452.29</v>
      </c>
      <c r="D3">
        <v>290.091</v>
      </c>
      <c r="E3">
        <v>289.703</v>
      </c>
      <c r="F3">
        <v>287158</v>
      </c>
      <c r="G3">
        <v>1565181</v>
      </c>
      <c r="H3">
        <v>16.4</v>
      </c>
      <c r="I3">
        <v>28286.516</v>
      </c>
      <c r="J3">
        <v>1500</v>
      </c>
      <c r="K3">
        <v>1</v>
      </c>
      <c r="L3">
        <v>0.001535</v>
      </c>
      <c r="M3">
        <v>1.455</v>
      </c>
      <c r="N3">
        <v>288.323</v>
      </c>
      <c r="O3">
        <v>287.629</v>
      </c>
      <c r="P3">
        <v>289.823</v>
      </c>
      <c r="Q3">
        <v>289.129</v>
      </c>
      <c r="R3">
        <v>1.768</v>
      </c>
      <c r="S3">
        <v>2.074</v>
      </c>
      <c r="T3" t="s">
        <v>30</v>
      </c>
      <c r="U3" t="s">
        <v>31</v>
      </c>
    </row>
    <row r="4" spans="1:21">
      <c r="A4" t="s">
        <v>8</v>
      </c>
      <c r="B4" t="s">
        <v>9</v>
      </c>
      <c r="C4">
        <v>629.99</v>
      </c>
      <c r="D4">
        <v>289.703</v>
      </c>
      <c r="E4">
        <v>289.286</v>
      </c>
      <c r="F4">
        <v>449201</v>
      </c>
      <c r="G4">
        <v>2014382</v>
      </c>
      <c r="H4">
        <v>21.58</v>
      </c>
      <c r="I4">
        <v>31378.532</v>
      </c>
      <c r="J4">
        <v>1500</v>
      </c>
      <c r="K4">
        <v>1</v>
      </c>
      <c r="L4">
        <v>0.001587</v>
      </c>
      <c r="M4">
        <v>1.48</v>
      </c>
      <c r="N4">
        <v>287.629</v>
      </c>
      <c r="O4">
        <v>286.629</v>
      </c>
      <c r="P4">
        <v>289.129</v>
      </c>
      <c r="Q4">
        <v>288.129</v>
      </c>
      <c r="R4">
        <v>2.074</v>
      </c>
      <c r="S4">
        <v>2.657</v>
      </c>
      <c r="T4" t="s">
        <v>30</v>
      </c>
      <c r="U4" t="s">
        <v>32</v>
      </c>
    </row>
    <row r="5" spans="1:21">
      <c r="A5" t="s">
        <v>9</v>
      </c>
      <c r="B5" t="s">
        <v>10</v>
      </c>
      <c r="C5">
        <v>546.94</v>
      </c>
      <c r="D5">
        <v>289.286</v>
      </c>
      <c r="E5">
        <v>288.814</v>
      </c>
      <c r="F5">
        <v>424729</v>
      </c>
      <c r="G5">
        <v>2439111</v>
      </c>
      <c r="H5">
        <v>28.67</v>
      </c>
      <c r="I5">
        <v>32063.444</v>
      </c>
      <c r="J5">
        <v>1500</v>
      </c>
      <c r="K5">
        <v>1</v>
      </c>
      <c r="L5">
        <v>0.001412</v>
      </c>
      <c r="M5">
        <v>1.396</v>
      </c>
      <c r="N5">
        <v>286.629</v>
      </c>
      <c r="O5">
        <v>285.857</v>
      </c>
      <c r="P5">
        <v>288.129</v>
      </c>
      <c r="Q5">
        <v>287.357</v>
      </c>
      <c r="R5">
        <v>2.657</v>
      </c>
      <c r="S5">
        <v>2.957</v>
      </c>
      <c r="T5" t="s">
        <v>30</v>
      </c>
      <c r="U5" t="s">
        <v>33</v>
      </c>
    </row>
    <row r="6" spans="1:21">
      <c r="A6" t="s">
        <v>10</v>
      </c>
      <c r="B6" t="s">
        <v>11</v>
      </c>
      <c r="C6">
        <v>594.59</v>
      </c>
      <c r="D6">
        <v>288.814</v>
      </c>
      <c r="E6">
        <v>288.457</v>
      </c>
      <c r="F6">
        <v>470340</v>
      </c>
      <c r="G6">
        <v>2909451</v>
      </c>
      <c r="H6">
        <v>35.2</v>
      </c>
      <c r="I6">
        <v>33526.504</v>
      </c>
      <c r="J6">
        <v>1500</v>
      </c>
      <c r="K6">
        <v>1</v>
      </c>
      <c r="L6">
        <v>0.001544</v>
      </c>
      <c r="M6">
        <v>1.459</v>
      </c>
      <c r="N6">
        <v>285.857</v>
      </c>
      <c r="O6">
        <v>284.939</v>
      </c>
      <c r="P6">
        <v>287.357</v>
      </c>
      <c r="Q6">
        <v>286.439</v>
      </c>
      <c r="R6">
        <v>2.957</v>
      </c>
      <c r="S6">
        <v>3.518</v>
      </c>
      <c r="T6" t="s">
        <v>30</v>
      </c>
      <c r="U6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计算结果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杨元鑫</cp:lastModifiedBy>
  <dcterms:created xsi:type="dcterms:W3CDTF">2023-05-12T11:15:00Z</dcterms:created>
  <dcterms:modified xsi:type="dcterms:W3CDTF">2026-03-19T10:11:51Z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AEA72E0EF34F44F490AB3C9751456A89_12</vt:lpwstr>
  </property>
  <property fmtid="{D5CDD505-2E9C-101B-9397-08002B2CF9AE}" pid="4" name="CalculationRule">
    <vt:i4>0</vt:i4>
  </property>
</Properties>
</file>